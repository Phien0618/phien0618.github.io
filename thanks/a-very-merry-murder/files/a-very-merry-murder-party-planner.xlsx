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Settings" state="visible" r:id="rId5"/>
    <sheet sheetId="3" name="Cast &amp; Invites" state="visible" r:id="rId6"/>
    <sheet sheetId="4" name="Timeline" state="visible" r:id="rId7"/>
    <sheet sheetId="5" name="Shopping" state="visible" r:id="rId8"/>
  </sheets>
  <calcPr calcId="171027"/>
</workbook>
</file>

<file path=xl/sharedStrings.xml><?xml version="1.0" encoding="utf-8"?>
<sst xmlns="http://schemas.openxmlformats.org/spreadsheetml/2006/main" count="167" uniqueCount="114">
  <si>
    <t>A Very Merry Murder - Party Planner</t>
  </si>
  <si>
    <t>Clue &amp; Candle Games. Yellow cells are yours to edit. Everything else updates by itself.</t>
  </si>
  <si>
    <t>Step</t>
  </si>
  <si>
    <t>What to do</t>
  </si>
  <si>
    <t>Settings: type your number of players (6-16) and your party start time.</t>
  </si>
  <si>
    <t>Cast &amp; Invites: the 'In this game?' column shows which roles to use for your player count. Type a guest name next to each role in use.</t>
  </si>
  <si>
    <t>Send each guest their character and costume idea (wording is in the PDF). Mark 'Invite sent' and 'RSVP' as Yes when done.</t>
  </si>
  <si>
    <t>13-16 players: use all 12 roles and let couples share a role, or make extra guests Deputy Detectives (see the Host Guide).</t>
  </si>
  <si>
    <t>Timeline: your clock times follow the start time you set. Print it and keep it next to the scripts.</t>
  </si>
  <si>
    <t>Shopping: adjust per-guest amounts and prices. Quantities and the total follow your player count.</t>
  </si>
  <si>
    <t>Settings shows confirmed guests and your shopping total at a glance.</t>
  </si>
  <si>
    <t>Party settings</t>
  </si>
  <si>
    <t>Edit the yellow cells only.</t>
  </si>
  <si>
    <t>Setting</t>
  </si>
  <si>
    <t>Value</t>
  </si>
  <si>
    <t>Number of players (6-16)</t>
  </si>
  <si>
    <t>Party start time</t>
  </si>
  <si>
    <t>Confirmed guests (RSVP = Yes)</t>
  </si>
  <si>
    <t>Shopping total</t>
  </si>
  <si>
    <t>Reveal ends at</t>
  </si>
  <si>
    <t>Cast &amp; invites</t>
  </si>
  <si>
    <t>Roles 1-6 are always needed. Roles 7-12 are added in order as your player count grows.</t>
  </si>
  <si>
    <t>#</t>
  </si>
  <si>
    <t>Character</t>
  </si>
  <si>
    <t>Role</t>
  </si>
  <si>
    <t>Type</t>
  </si>
  <si>
    <t>In this game?</t>
  </si>
  <si>
    <t>Guest name</t>
  </si>
  <si>
    <t>Invite sent</t>
  </si>
  <si>
    <t>RSVP</t>
  </si>
  <si>
    <t>Costume idea</t>
  </si>
  <si>
    <t>Robin Holly</t>
  </si>
  <si>
    <t>Head toymaker, 15 years at Frost &amp; Fable</t>
  </si>
  <si>
    <t>Core</t>
  </si>
  <si>
    <t>Example: Dana</t>
  </si>
  <si>
    <t>Yes</t>
  </si>
  <si>
    <t>Green apron, reading glasses, pencil behind the ear</t>
  </si>
  <si>
    <t>Jordan Tinsel</t>
  </si>
  <si>
    <t>Finance director and Nick's business partner</t>
  </si>
  <si>
    <t/>
  </si>
  <si>
    <t>Sharp suit, tinsel scarf, calculator</t>
  </si>
  <si>
    <t>Sam Garland</t>
  </si>
  <si>
    <t>Nick's nephew or niece, a struggling novelist</t>
  </si>
  <si>
    <t>Cosy cardigan, notebook, scarf</t>
  </si>
  <si>
    <t>Casey Sleigh</t>
  </si>
  <si>
    <t>Owner of Sleigh Bells Catering</t>
  </si>
  <si>
    <t>White apron, chef's hat, ladle</t>
  </si>
  <si>
    <t>Alex Snow</t>
  </si>
  <si>
    <t>Rival toymaker from Snow Toys, uninvited</t>
  </si>
  <si>
    <t>All white, frosty silver accessories</t>
  </si>
  <si>
    <t>Morgan Ivy</t>
  </si>
  <si>
    <t>Nick's personal assistant</t>
  </si>
  <si>
    <t>Smart outfit, clipboard, ring of keys</t>
  </si>
  <si>
    <t>Taylor Star</t>
  </si>
  <si>
    <t>Hired party Santa</t>
  </si>
  <si>
    <t>Optional</t>
  </si>
  <si>
    <t>Santa suit, or an elf costume</t>
  </si>
  <si>
    <t>Charlie Bell</t>
  </si>
  <si>
    <t>Marketing manager</t>
  </si>
  <si>
    <t>Bright festive jumper, camera or phone</t>
  </si>
  <si>
    <t>Frankie Fir</t>
  </si>
  <si>
    <t>The lodge gardener</t>
  </si>
  <si>
    <t>Flannel shirt, wellies, garden gloves</t>
  </si>
  <si>
    <t>Quinn Mistletoe</t>
  </si>
  <si>
    <t>Reporter for Toy Trade Weekly</t>
  </si>
  <si>
    <t>Trench coat, press badge</t>
  </si>
  <si>
    <t>Jamie Pudding</t>
  </si>
  <si>
    <t>Village baker and Nick's ex</t>
  </si>
  <si>
    <t>Flour-dusted apron, gingerbread brooch</t>
  </si>
  <si>
    <t>Riley Carol</t>
  </si>
  <si>
    <t>Hired pianist</t>
  </si>
  <si>
    <t>Bow tie or velvet, sheet music</t>
  </si>
  <si>
    <t>Party night timeline</t>
  </si>
  <si>
    <t>Clock times follow the start time in Settings.</t>
  </si>
  <si>
    <t>Minutes in</t>
  </si>
  <si>
    <t>Clock time</t>
  </si>
  <si>
    <t>What happens</t>
  </si>
  <si>
    <t>You do</t>
  </si>
  <si>
    <t>Guests arrive, drinks, costumes, photos</t>
  </si>
  <si>
    <t>Hand out envelopes. Players read 'Before the game' and Round 1 only</t>
  </si>
  <si>
    <t>Opening scene</t>
  </si>
  <si>
    <t>Read Script 1</t>
  </si>
  <si>
    <t>Round 1</t>
  </si>
  <si>
    <t>Reveal Evidence 1-4. Players mingle and question each other</t>
  </si>
  <si>
    <t>Dinner or snacks</t>
  </si>
  <si>
    <t>Players stay in character if they like</t>
  </si>
  <si>
    <t>Round 2</t>
  </si>
  <si>
    <t>Read Script 2, reveal Evidence 5-8. Players read Round 2</t>
  </si>
  <si>
    <t>Round 3</t>
  </si>
  <si>
    <t>Read Script 3, reveal Evidence 9-12. Players read Round 3</t>
  </si>
  <si>
    <t>Accusations</t>
  </si>
  <si>
    <t>Read Script 4. Hand out ballots, 5-10 minutes</t>
  </si>
  <si>
    <t>The reveal</t>
  </si>
  <si>
    <t>Read the Solution chapter. Give out awards</t>
  </si>
  <si>
    <t>Shopping list</t>
  </si>
  <si>
    <t>Edit per-guest amounts, fixed amounts and prices. Quantities follow the player count in Settings.</t>
  </si>
  <si>
    <t>Item</t>
  </si>
  <si>
    <t>Per guest</t>
  </si>
  <si>
    <t>Fixed qty</t>
  </si>
  <si>
    <t>Unit cost</t>
  </si>
  <si>
    <t>Qty needed</t>
  </si>
  <si>
    <t>Cost</t>
  </si>
  <si>
    <t>Bought?</t>
  </si>
  <si>
    <t>Envelopes for character packs</t>
  </si>
  <si>
    <t>Printer paper (sheets)</t>
  </si>
  <si>
    <t>Name tags</t>
  </si>
  <si>
    <t>Pencils or pens for ballots</t>
  </si>
  <si>
    <t>Hot cocoa or mulled wine (servings)</t>
  </si>
  <si>
    <t>Christmas cookies or mince pies</t>
  </si>
  <si>
    <t>Dinner or party food (per plate)</t>
  </si>
  <si>
    <t>Best Detective prize</t>
  </si>
  <si>
    <t>Best Costume prize</t>
  </si>
  <si>
    <t>Candles or fairy lights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</si>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</sst>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1F2A44"/>
      <sz val="16"/>
    </font>
    <font>
      <i/>
      <color rgb="FF6B6F7A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C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/>
    <xf numFmtId="18" fontId="0" fillId="3" borderId="1" xfId="0" applyNumberFormat="1" applyFill="1" applyBorder="1"/>
    <xf numFmtId="164" fontId="0" fillId="3" borderId="1" xfId="0" applyNumberFormat="1" applyFill="1" applyBorder="1"/>
    <xf numFmtId="18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>
        <v>1</v>
      </c>
      <c r="B5" s="4" t="s">
        <v>4</v>
      </c>
    </row>
    <row r="6" spans="1:2" x14ac:dyDescent="0.25">
      <c r="A6" s="4">
        <v>2</v>
      </c>
      <c r="B6" s="4" t="s">
        <v>5</v>
      </c>
    </row>
    <row r="7" spans="1:2" x14ac:dyDescent="0.25">
      <c r="A7" s="4">
        <v>3</v>
      </c>
      <c r="B7" s="4" t="s">
        <v>6</v>
      </c>
    </row>
    <row r="8" spans="1:2" x14ac:dyDescent="0.25">
      <c r="A8" s="4">
        <v>4</v>
      </c>
      <c r="B8" s="4" t="s">
        <v>7</v>
      </c>
    </row>
    <row r="9" spans="1:2" x14ac:dyDescent="0.25">
      <c r="A9" s="4">
        <v>5</v>
      </c>
      <c r="B9" s="4" t="s">
        <v>8</v>
      </c>
    </row>
    <row r="10" spans="1:2" x14ac:dyDescent="0.25">
      <c r="A10" s="4">
        <v>6</v>
      </c>
      <c r="B10" s="4" t="s">
        <v>9</v>
      </c>
    </row>
    <row r="11" spans="1:2" x14ac:dyDescent="0.25">
      <c r="A11" s="4">
        <v>7</v>
      </c>
      <c r="B1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1" x14ac:dyDescent="0.25">
      <c r="A1" s="1" t="s">
        <v>11</v>
      </c>
    </row>
    <row r="2" spans="1:1" x14ac:dyDescent="0.25">
      <c r="A2" s="2" t="s">
        <v>12</v>
      </c>
    </row>
    <row r="4" spans="1:2" x14ac:dyDescent="0.25">
      <c r="A4" s="3" t="s">
        <v>13</v>
      </c>
      <c r="B4" s="3" t="s">
        <v>14</v>
      </c>
    </row>
    <row r="5" spans="1:2" x14ac:dyDescent="0.25">
      <c r="A5" s="4" t="s">
        <v>15</v>
      </c>
      <c r="B5" s="5">
        <v>10</v>
      </c>
    </row>
    <row r="6" spans="1:2" x14ac:dyDescent="0.25">
      <c r="A6" s="4" t="s">
        <v>16</v>
      </c>
      <c r="B6" s="6">
        <v>0.7916666667</v>
      </c>
    </row>
    <row r="7" spans="1:2" x14ac:dyDescent="0.25">
      <c r="A7" s="4" t="s">
        <v>17</v>
      </c>
      <c r="B7" s="5">
        <f>COUNTIF('Cast &amp; Invites'!H5:H16,"Yes")</f>
      </c>
    </row>
    <row r="8" spans="1:2" x14ac:dyDescent="0.25">
      <c r="A8" s="4" t="s">
        <v>18</v>
      </c>
      <c r="B8" s="7">
        <f>Shopping!F15</f>
      </c>
    </row>
    <row r="9" spans="1:2" x14ac:dyDescent="0.25">
      <c r="A9" s="4" t="s">
        <v>19</v>
      </c>
      <c r="B9" s="6">
        <f>B6+150/1440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4" width="10" customWidth="1"/>
    <col min="5" max="5" width="16" customWidth="1"/>
    <col min="6" max="6" width="20" customWidth="1"/>
    <col min="7" max="7" width="12" customWidth="1"/>
    <col min="8" max="8" width="10" customWidth="1"/>
    <col min="9" max="9" width="44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4" spans="1:9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</row>
    <row r="5" spans="1:9" x14ac:dyDescent="0.25">
      <c r="A5" s="4">
        <v>1</v>
      </c>
      <c r="B5" s="4" t="s">
        <v>31</v>
      </c>
      <c r="C5" s="4" t="s">
        <v>32</v>
      </c>
      <c r="D5" s="4" t="s">
        <v>33</v>
      </c>
      <c r="E5" s="4">
        <f>IF(A5&lt;=Settings!$B$5,"Yes","Leave out")</f>
      </c>
      <c r="F5" s="5" t="s">
        <v>34</v>
      </c>
      <c r="G5" s="5" t="s">
        <v>35</v>
      </c>
      <c r="H5" s="5" t="s">
        <v>35</v>
      </c>
      <c r="I5" s="4" t="s">
        <v>36</v>
      </c>
    </row>
    <row r="6" spans="1:9" x14ac:dyDescent="0.25">
      <c r="A6" s="4">
        <v>2</v>
      </c>
      <c r="B6" s="4" t="s">
        <v>37</v>
      </c>
      <c r="C6" s="4" t="s">
        <v>38</v>
      </c>
      <c r="D6" s="4" t="s">
        <v>33</v>
      </c>
      <c r="E6" s="4">
        <f>IF(A6&lt;=Settings!$B$5,"Yes","Leave out")</f>
      </c>
      <c r="F6" s="5" t="s">
        <v>39</v>
      </c>
      <c r="G6" s="5" t="s">
        <v>39</v>
      </c>
      <c r="H6" s="5" t="s">
        <v>39</v>
      </c>
      <c r="I6" s="4" t="s">
        <v>40</v>
      </c>
    </row>
    <row r="7" spans="1:9" x14ac:dyDescent="0.25">
      <c r="A7" s="4">
        <v>3</v>
      </c>
      <c r="B7" s="4" t="s">
        <v>41</v>
      </c>
      <c r="C7" s="4" t="s">
        <v>42</v>
      </c>
      <c r="D7" s="4" t="s">
        <v>33</v>
      </c>
      <c r="E7" s="4">
        <f>IF(A7&lt;=Settings!$B$5,"Yes","Leave out")</f>
      </c>
      <c r="F7" s="5" t="s">
        <v>39</v>
      </c>
      <c r="G7" s="5" t="s">
        <v>39</v>
      </c>
      <c r="H7" s="5" t="s">
        <v>39</v>
      </c>
      <c r="I7" s="4" t="s">
        <v>43</v>
      </c>
    </row>
    <row r="8" spans="1:9" x14ac:dyDescent="0.25">
      <c r="A8" s="4">
        <v>4</v>
      </c>
      <c r="B8" s="4" t="s">
        <v>44</v>
      </c>
      <c r="C8" s="4" t="s">
        <v>45</v>
      </c>
      <c r="D8" s="4" t="s">
        <v>33</v>
      </c>
      <c r="E8" s="4">
        <f>IF(A8&lt;=Settings!$B$5,"Yes","Leave out")</f>
      </c>
      <c r="F8" s="5" t="s">
        <v>39</v>
      </c>
      <c r="G8" s="5" t="s">
        <v>39</v>
      </c>
      <c r="H8" s="5" t="s">
        <v>39</v>
      </c>
      <c r="I8" s="4" t="s">
        <v>46</v>
      </c>
    </row>
    <row r="9" spans="1:9" x14ac:dyDescent="0.25">
      <c r="A9" s="4">
        <v>5</v>
      </c>
      <c r="B9" s="4" t="s">
        <v>47</v>
      </c>
      <c r="C9" s="4" t="s">
        <v>48</v>
      </c>
      <c r="D9" s="4" t="s">
        <v>33</v>
      </c>
      <c r="E9" s="4">
        <f>IF(A9&lt;=Settings!$B$5,"Yes","Leave out")</f>
      </c>
      <c r="F9" s="5" t="s">
        <v>39</v>
      </c>
      <c r="G9" s="5" t="s">
        <v>39</v>
      </c>
      <c r="H9" s="5" t="s">
        <v>39</v>
      </c>
      <c r="I9" s="4" t="s">
        <v>49</v>
      </c>
    </row>
    <row r="10" spans="1:9" x14ac:dyDescent="0.25">
      <c r="A10" s="4">
        <v>6</v>
      </c>
      <c r="B10" s="4" t="s">
        <v>50</v>
      </c>
      <c r="C10" s="4" t="s">
        <v>51</v>
      </c>
      <c r="D10" s="4" t="s">
        <v>33</v>
      </c>
      <c r="E10" s="4">
        <f>IF(A10&lt;=Settings!$B$5,"Yes","Leave out")</f>
      </c>
      <c r="F10" s="5" t="s">
        <v>39</v>
      </c>
      <c r="G10" s="5" t="s">
        <v>39</v>
      </c>
      <c r="H10" s="5" t="s">
        <v>39</v>
      </c>
      <c r="I10" s="4" t="s">
        <v>52</v>
      </c>
    </row>
    <row r="11" spans="1:9" x14ac:dyDescent="0.25">
      <c r="A11" s="4">
        <v>7</v>
      </c>
      <c r="B11" s="4" t="s">
        <v>53</v>
      </c>
      <c r="C11" s="4" t="s">
        <v>54</v>
      </c>
      <c r="D11" s="4" t="s">
        <v>55</v>
      </c>
      <c r="E11" s="4">
        <f>IF(A11&lt;=Settings!$B$5,"Yes","Leave out")</f>
      </c>
      <c r="F11" s="5" t="s">
        <v>39</v>
      </c>
      <c r="G11" s="5" t="s">
        <v>39</v>
      </c>
      <c r="H11" s="5" t="s">
        <v>39</v>
      </c>
      <c r="I11" s="4" t="s">
        <v>56</v>
      </c>
    </row>
    <row r="12" spans="1:9" x14ac:dyDescent="0.25">
      <c r="A12" s="4">
        <v>8</v>
      </c>
      <c r="B12" s="4" t="s">
        <v>57</v>
      </c>
      <c r="C12" s="4" t="s">
        <v>58</v>
      </c>
      <c r="D12" s="4" t="s">
        <v>55</v>
      </c>
      <c r="E12" s="4">
        <f>IF(A12&lt;=Settings!$B$5,"Yes","Leave out")</f>
      </c>
      <c r="F12" s="5" t="s">
        <v>39</v>
      </c>
      <c r="G12" s="5" t="s">
        <v>39</v>
      </c>
      <c r="H12" s="5" t="s">
        <v>39</v>
      </c>
      <c r="I12" s="4" t="s">
        <v>59</v>
      </c>
    </row>
    <row r="13" spans="1:9" x14ac:dyDescent="0.25">
      <c r="A13" s="4">
        <v>9</v>
      </c>
      <c r="B13" s="4" t="s">
        <v>60</v>
      </c>
      <c r="C13" s="4" t="s">
        <v>61</v>
      </c>
      <c r="D13" s="4" t="s">
        <v>55</v>
      </c>
      <c r="E13" s="4">
        <f>IF(A13&lt;=Settings!$B$5,"Yes","Leave out")</f>
      </c>
      <c r="F13" s="5" t="s">
        <v>39</v>
      </c>
      <c r="G13" s="5" t="s">
        <v>39</v>
      </c>
      <c r="H13" s="5" t="s">
        <v>39</v>
      </c>
      <c r="I13" s="4" t="s">
        <v>62</v>
      </c>
    </row>
    <row r="14" spans="1:9" x14ac:dyDescent="0.25">
      <c r="A14" s="4">
        <v>10</v>
      </c>
      <c r="B14" s="4" t="s">
        <v>63</v>
      </c>
      <c r="C14" s="4" t="s">
        <v>64</v>
      </c>
      <c r="D14" s="4" t="s">
        <v>55</v>
      </c>
      <c r="E14" s="4">
        <f>IF(A14&lt;=Settings!$B$5,"Yes","Leave out")</f>
      </c>
      <c r="F14" s="5" t="s">
        <v>39</v>
      </c>
      <c r="G14" s="5" t="s">
        <v>39</v>
      </c>
      <c r="H14" s="5" t="s">
        <v>39</v>
      </c>
      <c r="I14" s="4" t="s">
        <v>65</v>
      </c>
    </row>
    <row r="15" spans="1:9" x14ac:dyDescent="0.25">
      <c r="A15" s="4">
        <v>11</v>
      </c>
      <c r="B15" s="4" t="s">
        <v>66</v>
      </c>
      <c r="C15" s="4" t="s">
        <v>67</v>
      </c>
      <c r="D15" s="4" t="s">
        <v>55</v>
      </c>
      <c r="E15" s="4">
        <f>IF(A15&lt;=Settings!$B$5,"Yes","Leave out")</f>
      </c>
      <c r="F15" s="5" t="s">
        <v>39</v>
      </c>
      <c r="G15" s="5" t="s">
        <v>39</v>
      </c>
      <c r="H15" s="5" t="s">
        <v>39</v>
      </c>
      <c r="I15" s="4" t="s">
        <v>68</v>
      </c>
    </row>
    <row r="16" spans="1:9" x14ac:dyDescent="0.25">
      <c r="A16" s="4">
        <v>12</v>
      </c>
      <c r="B16" s="4" t="s">
        <v>69</v>
      </c>
      <c r="C16" s="4" t="s">
        <v>70</v>
      </c>
      <c r="D16" s="4" t="s">
        <v>55</v>
      </c>
      <c r="E16" s="4">
        <f>IF(A16&lt;=Settings!$B$5,"Yes","Leave out")</f>
      </c>
      <c r="F16" s="5" t="s">
        <v>39</v>
      </c>
      <c r="G16" s="5" t="s">
        <v>39</v>
      </c>
      <c r="H16" s="5" t="s">
        <v>39</v>
      </c>
      <c r="I16" s="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3" customWidth="1"/>
    <col min="3" max="3" width="44" customWidth="1"/>
    <col min="4" max="4" width="56" customWidth="1"/>
  </cols>
  <sheetData>
    <row r="1" spans="1:1" x14ac:dyDescent="0.25">
      <c r="A1" s="1" t="s">
        <v>72</v>
      </c>
    </row>
    <row r="2" spans="1:1" x14ac:dyDescent="0.25">
      <c r="A2" s="2" t="s">
        <v>73</v>
      </c>
    </row>
    <row r="4" spans="1:4" x14ac:dyDescent="0.25">
      <c r="A4" s="3" t="s">
        <v>74</v>
      </c>
      <c r="B4" s="3" t="s">
        <v>75</v>
      </c>
      <c r="C4" s="3" t="s">
        <v>76</v>
      </c>
      <c r="D4" s="3" t="s">
        <v>77</v>
      </c>
    </row>
    <row r="5" spans="1:4" x14ac:dyDescent="0.25">
      <c r="A5" s="4">
        <v>0</v>
      </c>
      <c r="B5" s="8">
        <f>Settings!$B$6+A5/1440</f>
      </c>
      <c r="C5" s="4" t="s">
        <v>78</v>
      </c>
      <c r="D5" s="4" t="s">
        <v>79</v>
      </c>
    </row>
    <row r="6" spans="1:4" x14ac:dyDescent="0.25">
      <c r="A6" s="4">
        <v>15</v>
      </c>
      <c r="B6" s="8">
        <f>Settings!$B$6+A6/1440</f>
      </c>
      <c r="C6" s="4" t="s">
        <v>80</v>
      </c>
      <c r="D6" s="4" t="s">
        <v>81</v>
      </c>
    </row>
    <row r="7" spans="1:4" x14ac:dyDescent="0.25">
      <c r="A7" s="4">
        <v>20</v>
      </c>
      <c r="B7" s="8">
        <f>Settings!$B$6+A7/1440</f>
      </c>
      <c r="C7" s="4" t="s">
        <v>82</v>
      </c>
      <c r="D7" s="4" t="s">
        <v>83</v>
      </c>
    </row>
    <row r="8" spans="1:4" x14ac:dyDescent="0.25">
      <c r="A8" s="4">
        <v>50</v>
      </c>
      <c r="B8" s="8">
        <f>Settings!$B$6+A8/1440</f>
      </c>
      <c r="C8" s="4" t="s">
        <v>84</v>
      </c>
      <c r="D8" s="4" t="s">
        <v>85</v>
      </c>
    </row>
    <row r="9" spans="1:4" x14ac:dyDescent="0.25">
      <c r="A9" s="4">
        <v>80</v>
      </c>
      <c r="B9" s="8">
        <f>Settings!$B$6+A9/1440</f>
      </c>
      <c r="C9" s="4" t="s">
        <v>86</v>
      </c>
      <c r="D9" s="4" t="s">
        <v>87</v>
      </c>
    </row>
    <row r="10" spans="1:4" x14ac:dyDescent="0.25">
      <c r="A10" s="4">
        <v>110</v>
      </c>
      <c r="B10" s="8">
        <f>Settings!$B$6+A10/1440</f>
      </c>
      <c r="C10" s="4" t="s">
        <v>88</v>
      </c>
      <c r="D10" s="4" t="s">
        <v>89</v>
      </c>
    </row>
    <row r="11" spans="1:4" x14ac:dyDescent="0.25">
      <c r="A11" s="4">
        <v>140</v>
      </c>
      <c r="B11" s="8">
        <f>Settings!$B$6+A11/1440</f>
      </c>
      <c r="C11" s="4" t="s">
        <v>90</v>
      </c>
      <c r="D11" s="4" t="s">
        <v>91</v>
      </c>
    </row>
    <row r="12" spans="1:4" x14ac:dyDescent="0.25">
      <c r="A12" s="4">
        <v>150</v>
      </c>
      <c r="B12" s="8">
        <f>Settings!$B$6+A12/1440</f>
      </c>
      <c r="C12" s="4" t="s">
        <v>92</v>
      </c>
      <c r="D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1" customWidth="1"/>
    <col min="4" max="6" width="12" customWidth="1"/>
    <col min="7" max="7" width="10" customWidth="1"/>
  </cols>
  <sheetData>
    <row r="1" spans="1:1" x14ac:dyDescent="0.25">
      <c r="A1" s="1" t="s">
        <v>94</v>
      </c>
    </row>
    <row r="2" spans="1:1" x14ac:dyDescent="0.25">
      <c r="A2" s="2" t="s">
        <v>95</v>
      </c>
    </row>
    <row r="4" spans="1:7" x14ac:dyDescent="0.25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</row>
    <row r="5" spans="1:7" x14ac:dyDescent="0.25">
      <c r="A5" s="4" t="s">
        <v>103</v>
      </c>
      <c r="B5" s="5">
        <v>1</v>
      </c>
      <c r="C5" s="5">
        <v>0</v>
      </c>
      <c r="D5" s="7">
        <v>0.2</v>
      </c>
      <c r="E5" s="4">
        <f>ROUNDUP(B5*Settings!$B$5,0)+C5</f>
      </c>
      <c r="F5" s="9">
        <f>E5*D5</f>
      </c>
      <c r="G5" s="5" t="s">
        <v>39</v>
      </c>
    </row>
    <row r="6" spans="1:7" x14ac:dyDescent="0.25">
      <c r="A6" s="4" t="s">
        <v>104</v>
      </c>
      <c r="B6" s="5">
        <v>4</v>
      </c>
      <c r="C6" s="5">
        <v>15</v>
      </c>
      <c r="D6" s="7">
        <v>0.02</v>
      </c>
      <c r="E6" s="4">
        <f>ROUNDUP(B6*Settings!$B$5,0)+C6</f>
      </c>
      <c r="F6" s="9">
        <f>E6*D6</f>
      </c>
      <c r="G6" s="5" t="s">
        <v>39</v>
      </c>
    </row>
    <row r="7" spans="1:7" x14ac:dyDescent="0.25">
      <c r="A7" s="4" t="s">
        <v>105</v>
      </c>
      <c r="B7" s="5">
        <v>1</v>
      </c>
      <c r="C7" s="5">
        <v>0</v>
      </c>
      <c r="D7" s="7">
        <v>0.3</v>
      </c>
      <c r="E7" s="4">
        <f>ROUNDUP(B7*Settings!$B$5,0)+C7</f>
      </c>
      <c r="F7" s="9">
        <f>E7*D7</f>
      </c>
      <c r="G7" s="5" t="s">
        <v>39</v>
      </c>
    </row>
    <row r="8" spans="1:7" x14ac:dyDescent="0.25">
      <c r="A8" s="4" t="s">
        <v>106</v>
      </c>
      <c r="B8" s="5">
        <v>1</v>
      </c>
      <c r="C8" s="5">
        <v>0</v>
      </c>
      <c r="D8" s="7">
        <v>0.25</v>
      </c>
      <c r="E8" s="4">
        <f>ROUNDUP(B8*Settings!$B$5,0)+C8</f>
      </c>
      <c r="F8" s="9">
        <f>E8*D8</f>
      </c>
      <c r="G8" s="5" t="s">
        <v>39</v>
      </c>
    </row>
    <row r="9" spans="1:7" x14ac:dyDescent="0.25">
      <c r="A9" s="4" t="s">
        <v>107</v>
      </c>
      <c r="B9" s="5">
        <v>2</v>
      </c>
      <c r="C9" s="5">
        <v>0</v>
      </c>
      <c r="D9" s="7">
        <v>1</v>
      </c>
      <c r="E9" s="4">
        <f>ROUNDUP(B9*Settings!$B$5,0)+C9</f>
      </c>
      <c r="F9" s="9">
        <f>E9*D9</f>
      </c>
      <c r="G9" s="5" t="s">
        <v>39</v>
      </c>
    </row>
    <row r="10" spans="1:7" x14ac:dyDescent="0.25">
      <c r="A10" s="4" t="s">
        <v>108</v>
      </c>
      <c r="B10" s="5">
        <v>3</v>
      </c>
      <c r="C10" s="5">
        <v>0</v>
      </c>
      <c r="D10" s="7">
        <v>0.5</v>
      </c>
      <c r="E10" s="4">
        <f>ROUNDUP(B10*Settings!$B$5,0)+C10</f>
      </c>
      <c r="F10" s="9">
        <f>E10*D10</f>
      </c>
      <c r="G10" s="5" t="s">
        <v>39</v>
      </c>
    </row>
    <row r="11" spans="1:7" x14ac:dyDescent="0.25">
      <c r="A11" s="4" t="s">
        <v>109</v>
      </c>
      <c r="B11" s="5">
        <v>1</v>
      </c>
      <c r="C11" s="5">
        <v>0</v>
      </c>
      <c r="D11" s="7">
        <v>6</v>
      </c>
      <c r="E11" s="4">
        <f>ROUNDUP(B11*Settings!$B$5,0)+C11</f>
      </c>
      <c r="F11" s="9">
        <f>E11*D11</f>
      </c>
      <c r="G11" s="5" t="s">
        <v>39</v>
      </c>
    </row>
    <row r="12" spans="1:7" x14ac:dyDescent="0.25">
      <c r="A12" s="4" t="s">
        <v>110</v>
      </c>
      <c r="B12" s="5">
        <v>0</v>
      </c>
      <c r="C12" s="5">
        <v>1</v>
      </c>
      <c r="D12" s="7">
        <v>5</v>
      </c>
      <c r="E12" s="4">
        <f>ROUNDUP(B12*Settings!$B$5,0)+C12</f>
      </c>
      <c r="F12" s="9">
        <f>E12*D12</f>
      </c>
      <c r="G12" s="5" t="s">
        <v>39</v>
      </c>
    </row>
    <row r="13" spans="1:7" x14ac:dyDescent="0.25">
      <c r="A13" s="4" t="s">
        <v>111</v>
      </c>
      <c r="B13" s="5">
        <v>0</v>
      </c>
      <c r="C13" s="5">
        <v>1</v>
      </c>
      <c r="D13" s="7">
        <v>5</v>
      </c>
      <c r="E13" s="4">
        <f>ROUNDUP(B13*Settings!$B$5,0)+C13</f>
      </c>
      <c r="F13" s="9">
        <f>E13*D13</f>
      </c>
      <c r="G13" s="5" t="s">
        <v>39</v>
      </c>
    </row>
    <row r="14" spans="1:7" x14ac:dyDescent="0.25">
      <c r="A14" s="4" t="s">
        <v>112</v>
      </c>
      <c r="B14" s="5">
        <v>0</v>
      </c>
      <c r="C14" s="5">
        <v>1</v>
      </c>
      <c r="D14" s="7">
        <v>8</v>
      </c>
      <c r="E14" s="4">
        <f>ROUNDUP(B14*Settings!$B$5,0)+C14</f>
      </c>
      <c r="F14" s="9">
        <f>E14*D14</f>
      </c>
      <c r="G14" s="5" t="s">
        <v>39</v>
      </c>
    </row>
    <row r="15" spans="1:7" x14ac:dyDescent="0.25">
      <c r="A15" s="4" t="s">
        <v>113</v>
      </c>
      <c r="B15" s="5"/>
      <c r="C15" s="5"/>
      <c r="D15" s="7"/>
      <c r="E15" s="4"/>
      <c r="F15" s="9">
        <f>SUM(F5:F14)</f>
      </c>
      <c r="G15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Settings</vt:lpstr>
      <vt:lpstr>Cast &amp; Invites</vt:lpstr>
      <vt:lpstr>Timeline</vt:lpstr>
      <vt:lpstr>Shopping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Hustle Studio</dc:creator>
  <dc:title/>
  <dc:subject/>
  <dc:description/>
  <cp:keywords/>
  <cp:category/>
  <cp:lastModifiedBy>Unknown</cp:lastModifiedBy>
  <dcterms:created xsi:type="dcterms:W3CDTF">2026-10-08T08:01:47Z</dcterms:created>
  <dcterms:modified xsi:type="dcterms:W3CDTF">2026-10-08T08:01:47Z</dcterms:modified>
</cp:coreProperties>
</file>