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Settings" state="visible" r:id="rId5"/>
    <sheet sheetId="3" name="Idea Bank" state="visible" r:id="rId6"/>
    <sheet sheetId="4" name="Video Log" state="visible" r:id="rId7"/>
    <sheet sheetId="5" name="Revenue Estimator" state="visible" r:id="rId8"/>
    <sheet sheetId="6" name="Dashboard" state="visible" r:id="rId9"/>
    <sheet sheetId="7" name="Weekly Review" state="visible" r:id="rId10"/>
  </sheets>
  <calcPr calcId="171027"/>
</workbook>
</file>

<file path=xl/sharedStrings.xml><?xml version="1.0" encoding="utf-8"?>
<sst xmlns="http://schemas.openxmlformats.org/spreadsheetml/2006/main" count="645" uniqueCount="304">
  <si>
    <t>Faceless Shorts Performance Tracker: YouTube, TikTok &amp; Reels</t>
  </si>
  <si>
    <t>For reviewing performance after you post — not a posting calendar or script tool.</t>
  </si>
  <si>
    <t>Topic</t>
  </si>
  <si>
    <t>What to do</t>
  </si>
  <si>
    <t>QUICK START</t>
  </si>
  <si>
    <t/>
  </si>
  <si>
    <t>Step 1 · Settings</t>
  </si>
  <si>
    <t>Type your channel name, start date (a Monday), weekly goal and currency.</t>
  </si>
  <si>
    <t>Edit the Niches and Hook types lists to match your channel.</t>
  </si>
  <si>
    <t>Step 2 · Idea Bank</t>
  </si>
  <si>
    <t>Add ideas. Score Curiosity, Ease and Evergreen 1–5. 12+ = 🟢 Top pick.</t>
  </si>
  <si>
    <t>Step 3 · Video Log</t>
  </si>
  <si>
    <t>About 7 days after posting, add one row per video per platform.</t>
  </si>
  <si>
    <t>Fill A–O: 6 labels + 7 numbers from analytics (+2 optional affiliate).</t>
  </si>
  <si>
    <t>Step 4 · Dashboard + Review</t>
  </si>
  <si>
    <t>Read verdicts, ★ Best rows and Top 5. Write Keep / Stop / Test weekly.</t>
  </si>
  <si>
    <t>COLOUR KEY</t>
  </si>
  <si>
    <t>Light yellow</t>
  </si>
  <si>
    <t>You type here.</t>
  </si>
  <si>
    <t>Light grey</t>
  </si>
  <si>
    <t>Formula. Leave it.</t>
  </si>
  <si>
    <t>Dark row</t>
  </si>
  <si>
    <t>Headers.</t>
  </si>
  <si>
    <t>Green</t>
  </si>
  <si>
    <t>🟢 Winner, 🟢 Top pick, Vs baseline 1.50 or more.</t>
  </si>
  <si>
    <t>Red</t>
  </si>
  <si>
    <t>🔴 Flop, Vs baseline 0.50 or less.</t>
  </si>
  <si>
    <t>Orange</t>
  </si>
  <si>
    <t>⚠ Not in Settings (Check column).</t>
  </si>
  <si>
    <t>Light lime</t>
  </si>
  <si>
    <t>★ Best (Dashboard). Dashboard text bars are green.</t>
  </si>
  <si>
    <t>THE 7 TABS</t>
  </si>
  <si>
    <t>Settings</t>
  </si>
  <si>
    <t>Channel name, start date, weekly goal, currency and your lists.</t>
  </si>
  <si>
    <t>Idea Bank</t>
  </si>
  <si>
    <t>Score = Curiosity + Ease + Evergreen. 12+ = Top pick.</t>
  </si>
  <si>
    <t>Video Log</t>
  </si>
  <si>
    <t>One row per video per platform. Baseline, Vs baseline, Verdict.</t>
  </si>
  <si>
    <t>Revenue Estimator</t>
  </si>
  <si>
    <t>12 months. Ad = views × RPM ÷ 1000. Affiliate summed from Video Log.</t>
  </si>
  <si>
    <t>Dashboard</t>
  </si>
  <si>
    <t>6 KPIs, Top 5, 4 comparison tables, Same video across platforms.</t>
  </si>
  <si>
    <t>Weekly Review</t>
  </si>
  <si>
    <t>12 week slots (weeks 5+ fill in after you copy rows down).</t>
  </si>
  <si>
    <t>LABELS</t>
  </si>
  <si>
    <t>Baseline</t>
  </si>
  <si>
    <t>Average 7-day views of your OTHER posts, same platform + length bucket.</t>
  </si>
  <si>
    <t>Vs baseline</t>
  </si>
  <si>
    <t>7-day views ÷ Baseline, rounded to 2 decimals.</t>
  </si>
  <si>
    <t>Verdict</t>
  </si>
  <si>
    <t>1.50 or more = 🟢 Winner. 0.50 or less = 🔴 Flop. Otherwise Normal.</t>
  </si>
  <si>
    <t>Need 3+</t>
  </si>
  <si>
    <t>Fewer than 3 other posts in the same platform + length bucket.</t>
  </si>
  <si>
    <t>— (dash)</t>
  </si>
  <si>
    <t>No baseline yet, or not posted on that platform.</t>
  </si>
  <si>
    <t>Check</t>
  </si>
  <si>
    <t>⚠ Not in Settings = niche, hook or platform not spelled as in Settings.</t>
  </si>
  <si>
    <t>HOW THE BASELINE WORKS</t>
  </si>
  <si>
    <t>Each post is compared with the average of your OTHER posts on the same</t>
  </si>
  <si>
    <t>platform and length bucket — at least 3 others, otherwise 'Need 3+'.</t>
  </si>
  <si>
    <t>CLEAR THE SAMPLE DATA</t>
  </si>
  <si>
    <t>Select each range and press Delete. Clear cells; do not delete rows.</t>
  </si>
  <si>
    <t>B5:H34 and K5:L34</t>
  </si>
  <si>
    <t>A5:O40</t>
  </si>
  <si>
    <t>B5:C6, E5:F6, H5:I6, K5:L6 and Sponsors / Other O5:O6</t>
  </si>
  <si>
    <t>Keep / Stop / Test notes H5:J6</t>
  </si>
  <si>
    <t>Change B5:B8 to your own values. Keep or edit the lists.</t>
  </si>
  <si>
    <t>GOOGLE SHEETS</t>
  </si>
  <si>
    <t>Upload the .xlsx to Google Drive, open it, then File &gt; Save as Google Sheets.</t>
  </si>
  <si>
    <t>NEED MORE ROWS?</t>
  </si>
  <si>
    <t>Pre-filled formula rows: 60 (rows 5–64) ≈ 4 weeks at 5 videos/week on</t>
  </si>
  <si>
    <t>3 platforms. To log more, copy row 64 and paste down — about 10 seconds.</t>
  </si>
  <si>
    <t>Dropdowns, colours and all summaries already cover rows 5–1000.</t>
  </si>
  <si>
    <t>Same in Video Log and Idea Bank: copy row 64, paste into rows 65 and below.</t>
  </si>
  <si>
    <t>COMPATIBILITY</t>
  </si>
  <si>
    <t>Uses only functions available in Excel 2016 and Google Sheets</t>
  </si>
  <si>
    <t>(no XLOOKUP, FILTER, LET or dynamic arrays). All formulas recalculated</t>
  </si>
  <si>
    <t>with zero errors in our formula checker.</t>
  </si>
  <si>
    <t>OPTIONAL: POINT DROPDOWNS AT YOUR OWN LIST</t>
  </si>
  <si>
    <t>Skip this unless you rename or add items in Settings — the dropdowns</t>
  </si>
  <si>
    <t>already work as shipped.</t>
  </si>
  <si>
    <t>Why</t>
  </si>
  <si>
    <t>The dropdowns are fixed lists of the names shipped in Settings.</t>
  </si>
  <si>
    <t>Excel</t>
  </si>
  <si>
    <t>Select the target range &gt; Data &gt; Data Validation &gt; List &gt; Source.</t>
  </si>
  <si>
    <t>Google Sheets</t>
  </si>
  <si>
    <t>Select the target range &gt; Data &gt; Data validation &gt; Dropdown (from a range).</t>
  </si>
  <si>
    <t>Idea Bank C5:C1000 (Niche)</t>
  </si>
  <si>
    <t>Settings!$D$5:$D$34</t>
  </si>
  <si>
    <t>Idea Bank D5:D1000 (Hook type)</t>
  </si>
  <si>
    <t>Settings!$E$5:$E$34</t>
  </si>
  <si>
    <t>Idea Bank K5:K1000 (Status)</t>
  </si>
  <si>
    <t>Settings!$G$5:$G$34</t>
  </si>
  <si>
    <t>Video Log C5:C1000 (Niche)</t>
  </si>
  <si>
    <t>Video Log D5:D1000 (Hook type)</t>
  </si>
  <si>
    <t>Video Log E5:E1000 (Platform)</t>
  </si>
  <si>
    <t>Settings!$F$5:$F$34</t>
  </si>
  <si>
    <t>LOCKED TABS (NO PASSWORD)</t>
  </si>
  <si>
    <t>Dashboard, Weekly Review</t>
  </si>
  <si>
    <t>Protected with no password so formulas are not overwritten by accident.</t>
  </si>
  <si>
    <t>Unlock</t>
  </si>
  <si>
    <t>Excel: Review &gt; Unprotect Sheet (no password needed).</t>
  </si>
  <si>
    <t>Stays editable</t>
  </si>
  <si>
    <t>Weekly Review Keep / Stop / Test columns (H–J).</t>
  </si>
  <si>
    <t>WHAT'S NOT IN THIS FILE</t>
  </si>
  <si>
    <t>Not included</t>
  </si>
  <si>
    <t>Hook library, script templates or generator, posting calendar.</t>
  </si>
  <si>
    <t>No automatic import: you type the numbers from your own analytics.</t>
  </si>
  <si>
    <t>Charts</t>
  </si>
  <si>
    <t>Text bar charts (REPT). For a native chart: unprotect, Insert &gt; Chart.</t>
  </si>
  <si>
    <t>Promises</t>
  </si>
  <si>
    <t>No promise of views or income. No outside benchmarks.</t>
  </si>
  <si>
    <t>WORKS IN</t>
  </si>
  <si>
    <t>Excel 2016 or later, Excel 365, Google Sheets (import). No macros.</t>
  </si>
  <si>
    <t>Light yellow = you type. The lists feed the dropdown checks and the Dashboard. Room to row 34.</t>
  </si>
  <si>
    <t>Setting</t>
  </si>
  <si>
    <t>Value</t>
  </si>
  <si>
    <t>Note</t>
  </si>
  <si>
    <t>Niches</t>
  </si>
  <si>
    <t>Hook types</t>
  </si>
  <si>
    <t>Platforms</t>
  </si>
  <si>
    <t>Status</t>
  </si>
  <si>
    <t>Length buckets</t>
  </si>
  <si>
    <t>Channel name</t>
  </si>
  <si>
    <t>My Faceless Channel</t>
  </si>
  <si>
    <t>For your reference</t>
  </si>
  <si>
    <t>Reddit Stories</t>
  </si>
  <si>
    <t>Question</t>
  </si>
  <si>
    <t>YouTube Shorts</t>
  </si>
  <si>
    <t>Idea</t>
  </si>
  <si>
    <t>≤15s</t>
  </si>
  <si>
    <t>Start date (a Monday)</t>
  </si>
  <si>
    <t>Week 1 of Weekly Review starts here</t>
  </si>
  <si>
    <t>History Facts</t>
  </si>
  <si>
    <t>Shocking Fact</t>
  </si>
  <si>
    <t>TikTok</t>
  </si>
  <si>
    <t>Testing</t>
  </si>
  <si>
    <t>16–30s</t>
  </si>
  <si>
    <t>Weekly posting goal</t>
  </si>
  <si>
    <t>5 videos × 3 platforms = 15 posts</t>
  </si>
  <si>
    <t>Motivation</t>
  </si>
  <si>
    <t>Story Cold Open</t>
  </si>
  <si>
    <t>Instagram Reels</t>
  </si>
  <si>
    <t>Scripted</t>
  </si>
  <si>
    <t>31–45s</t>
  </si>
  <si>
    <t>Currency symbol</t>
  </si>
  <si>
    <t>$</t>
  </si>
  <si>
    <t>Money cells use $; change the format for others</t>
  </si>
  <si>
    <t>AI Tools</t>
  </si>
  <si>
    <t>You won't believe</t>
  </si>
  <si>
    <t>Facebook Reels</t>
  </si>
  <si>
    <t>Edited</t>
  </si>
  <si>
    <t>46–60s</t>
  </si>
  <si>
    <t>True Crime</t>
  </si>
  <si>
    <t>List / Countdown</t>
  </si>
  <si>
    <t>Scheduled</t>
  </si>
  <si>
    <t>61s+</t>
  </si>
  <si>
    <t>Finance Facts</t>
  </si>
  <si>
    <t>Myth vs Truth</t>
  </si>
  <si>
    <t>Posted</t>
  </si>
  <si>
    <t>Science Facts</t>
  </si>
  <si>
    <t>POV</t>
  </si>
  <si>
    <t>Dropped</t>
  </si>
  <si>
    <t>Beauty &amp; Skincare</t>
  </si>
  <si>
    <t>Challenge</t>
  </si>
  <si>
    <t>Fitness &amp; Health</t>
  </si>
  <si>
    <t>Before/After</t>
  </si>
  <si>
    <t>Other</t>
  </si>
  <si>
    <t>Direct Promise</t>
  </si>
  <si>
    <t>Score each idea 1–5. Score 12+ = 🟢 Top pick. Sample ideas (rows 5–34) are fictional. Formulas run to row 64.</t>
  </si>
  <si>
    <t>ID</t>
  </si>
  <si>
    <t>Niche</t>
  </si>
  <si>
    <t>Hook type</t>
  </si>
  <si>
    <t>Source</t>
  </si>
  <si>
    <t>Curiosity 1–5</t>
  </si>
  <si>
    <t>Ease 1–5</t>
  </si>
  <si>
    <t>Evergreen 1–5</t>
  </si>
  <si>
    <t>Score</t>
  </si>
  <si>
    <t>Pick</t>
  </si>
  <si>
    <t>Notes</t>
  </si>
  <si>
    <t>The note under the door</t>
  </si>
  <si>
    <t>Own idea</t>
  </si>
  <si>
    <t>Posted 2026-09-21</t>
  </si>
  <si>
    <t>My roommate's 3 rules</t>
  </si>
  <si>
    <t>47s: trim next time</t>
  </si>
  <si>
    <t>My boss hit reply all</t>
  </si>
  <si>
    <t>Comment request</t>
  </si>
  <si>
    <t>The neighbor who returned my packages</t>
  </si>
  <si>
    <t>The wedding gift receipt</t>
  </si>
  <si>
    <t>3 red flags at my first apartment viewing</t>
  </si>
  <si>
    <t>The coworker who labeled everything in the fridge</t>
  </si>
  <si>
    <t>Part 2 possible</t>
  </si>
  <si>
    <t>My landlord's surprise inspection</t>
  </si>
  <si>
    <t>The group project nobody else did</t>
  </si>
  <si>
    <t>The dog that kept bringing home one shoe</t>
  </si>
  <si>
    <t>Try both hooks</t>
  </si>
  <si>
    <t>My sister's secret second job</t>
  </si>
  <si>
    <t>The voicemail from a wrong number</t>
  </si>
  <si>
    <t>The gym locker mix-up</t>
  </si>
  <si>
    <t>The neighbor's 6 a.m. leaf blower</t>
  </si>
  <si>
    <t>The car I almost bought</t>
  </si>
  <si>
    <t>Too close to ID 6</t>
  </si>
  <si>
    <t>Rome's 6-month dictator</t>
  </si>
  <si>
    <t>Library book</t>
  </si>
  <si>
    <t>Can you see the Great Wall from space?</t>
  </si>
  <si>
    <t>Encyclopedia</t>
  </si>
  <si>
    <t>Napoleon wasn't short</t>
  </si>
  <si>
    <t>The 38-minute war</t>
  </si>
  <si>
    <t>The Great Emu War</t>
  </si>
  <si>
    <t>Cleopatra lived closer to the Moon landing</t>
  </si>
  <si>
    <t>Medieval courts that put animals on trial</t>
  </si>
  <si>
    <t>Check 2 sources</t>
  </si>
  <si>
    <t>The dancing plague of 1518</t>
  </si>
  <si>
    <t>The Year Without a Summer (1816)</t>
  </si>
  <si>
    <t>How medieval people kept food cold</t>
  </si>
  <si>
    <t>When the US mail delivered children</t>
  </si>
  <si>
    <t>How sailors told time at sea</t>
  </si>
  <si>
    <t>Why old maps had sea monsters</t>
  </si>
  <si>
    <t>Where the 7-day week came from</t>
  </si>
  <si>
    <t>Old London Bridge had houses on it</t>
  </si>
  <si>
    <t>Sample data: fictional numbers. Clear the light-yellow cells in rows 5–40 (A5:O40) before you start. One row per video per platform.</t>
  </si>
  <si>
    <t>Post date</t>
  </si>
  <si>
    <t>Title</t>
  </si>
  <si>
    <t>Platform</t>
  </si>
  <si>
    <t>Length (s)</t>
  </si>
  <si>
    <t>Views 48h</t>
  </si>
  <si>
    <t>Views 7d</t>
  </si>
  <si>
    <t>Avg % viewed</t>
  </si>
  <si>
    <t>Likes</t>
  </si>
  <si>
    <t>Comments</t>
  </si>
  <si>
    <t>Shares</t>
  </si>
  <si>
    <t>Follows</t>
  </si>
  <si>
    <t>Affiliate clicks</t>
  </si>
  <si>
    <t>Affiliate revenue</t>
  </si>
  <si>
    <t>Length bucket</t>
  </si>
  <si>
    <t>Engagement</t>
  </si>
  <si>
    <t>% viewed</t>
  </si>
  <si>
    <t>Key: rank</t>
  </si>
  <si>
    <t>Key: week</t>
  </si>
  <si>
    <t>Key: first row</t>
  </si>
  <si>
    <t>Key: title+platform</t>
  </si>
  <si>
    <t>Key: last date</t>
  </si>
  <si>
    <t>RPM differs by niche, country and platform. Use the RPM from your own analytics; the sample RPM (1.00) is a placeholder, not a benchmark.</t>
  </si>
  <si>
    <t>Month</t>
  </si>
  <si>
    <t>YT views</t>
  </si>
  <si>
    <t>YT RPM</t>
  </si>
  <si>
    <t>YT ad</t>
  </si>
  <si>
    <t>TT views</t>
  </si>
  <si>
    <t>TT RPM</t>
  </si>
  <si>
    <t>TT ad</t>
  </si>
  <si>
    <t>IG views</t>
  </si>
  <si>
    <t>IG RPM</t>
  </si>
  <si>
    <t>IG ad</t>
  </si>
  <si>
    <t>FB views</t>
  </si>
  <si>
    <t>FB RPM</t>
  </si>
  <si>
    <t>FB ad</t>
  </si>
  <si>
    <t>Affiliate (from Video Log)</t>
  </si>
  <si>
    <t>Sponsors / Other</t>
  </si>
  <si>
    <t>Monthly total</t>
  </si>
  <si>
    <t>Year total</t>
  </si>
  <si>
    <t>All formulas. Nothing to type here. Locked with no password (Review &gt; Unprotect Sheet).</t>
  </si>
  <si>
    <t>Section / item</t>
  </si>
  <si>
    <t>Value or posts</t>
  </si>
  <si>
    <t>Avg 7-day views</t>
  </si>
  <si>
    <t>Winners</t>
  </si>
  <si>
    <t>Top avg</t>
  </si>
  <si>
    <t>Text bar</t>
  </si>
  <si>
    <t>Top 5 key</t>
  </si>
  <si>
    <t>More</t>
  </si>
  <si>
    <t>Row key</t>
  </si>
  <si>
    <t>Posts this week (Mon–today)</t>
  </si>
  <si>
    <t>Posts logged with 7-day views</t>
  </si>
  <si>
    <t>Total 7-day views</t>
  </si>
  <si>
    <t>Engagement (likes+comments+shares ÷ views)</t>
  </si>
  <si>
    <t>🟢 Winners</t>
  </si>
  <si>
    <t>Revenue this month (Revenue Estimator)</t>
  </si>
  <si>
    <t>BY HOOK TYPE</t>
  </si>
  <si>
    <t>Posts</t>
  </si>
  <si>
    <t>BY NICHE</t>
  </si>
  <si>
    <t>BY PLATFORM</t>
  </si>
  <si>
    <t>BY LENGTH BUCKET</t>
  </si>
  <si>
    <t>TOP 5 BY 7-DAY VIEWS</t>
  </si>
  <si>
    <t>7-day views</t>
  </si>
  <si>
    <t>Row</t>
  </si>
  <si>
    <t>SAME VIDEO ACROSS PLATFORMS (latest 12 titles)</t>
  </si>
  <si>
    <t>Last post date</t>
  </si>
  <si>
    <t>YT verdict</t>
  </si>
  <si>
    <t>TT verdict</t>
  </si>
  <si>
    <t>IG verdict</t>
  </si>
  <si>
    <t>FB verdict</t>
  </si>
  <si>
    <t>Best platform</t>
  </si>
  <si>
    <t>12 week slots (weeks 5+ fill in after you copy rows down). Keep / Stop / Test stay editable; the rest is locked, no password.</t>
  </si>
  <si>
    <t>Week</t>
  </si>
  <si>
    <t>Week start</t>
  </si>
  <si>
    <t>Best video (7-day views)</t>
  </si>
  <si>
    <t>Keep</t>
  </si>
  <si>
    <t>Stop</t>
  </si>
  <si>
    <t>Test</t>
  </si>
  <si>
    <t>Story cold opens on TikTok</t>
  </si>
  <si>
    <t>Lists over 45s</t>
  </si>
  <si>
    <t>Same story cut to 30s</t>
  </si>
  <si>
    <t>History myths on TikTok</t>
  </si>
  <si>
    <t>Apartment list videos</t>
  </si>
  <si>
    <t>One more 'You won't believe' on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</si>
</sst>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yyyy-mm-dd"/>
    <numFmt numFmtId="165" formatCode="$#,##0.00"/>
    <numFmt numFmtId="166" formatCode="0.0%"/>
    <numFmt numFmtId="167" formatCode="mmm yyyy"/>
    <numFmt numFmtId="168" formatCode="$0.00"/>
    <numFmt numFmtId="169" formatCode="0.00&quot;x&quot;"/>
    <numFmt numFmtId="170" formatCode="mmm d, yyyy"/>
  </numFmts>
  <fonts count="4" x14ac:knownFonts="1">
    <font>
      <color theme="1"/>
      <family val="2"/>
      <scheme val="minor"/>
      <sz val="11"/>
      <name val="Calibri"/>
    </font>
    <font>
      <b/>
      <color rgb="FF1F2A44"/>
      <sz val="16"/>
    </font>
    <font>
      <i/>
      <color rgb="FF6B6F7A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DCC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9" fontId="0" fillId="3" borderId="1" xfId="0" applyNumberFormat="1" applyFill="1" applyBorder="1"/>
    <xf numFmtId="1" fontId="0" fillId="3" borderId="1" xfId="0" applyNumberFormat="1" applyFill="1" applyBorder="1"/>
    <xf numFmtId="165" fontId="0" fillId="3" borderId="1" xfId="0" applyNumberFormat="1" applyFill="1" applyBorder="1"/>
    <xf numFmtId="166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167" fontId="0" fillId="0" borderId="1" xfId="0" applyNumberFormat="1" applyBorder="1"/>
    <xf numFmtId="168" fontId="0" fillId="3" borderId="1" xfId="0" applyNumberFormat="1" applyFill="1" applyBorder="1"/>
    <xf numFmtId="165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0" fontId="0" fillId="3" borderId="1" xfId="0" applyFill="1" applyBorder="1" applyProtection="1">
      <protection locked="0"/>
    </xf>
  </cellXfs>
  <cellStyles count="1">
    <cellStyle name="Normal" xfId="0" builtinId="0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8A4500"/>
      </font>
      <fill>
        <patternFill patternType="solid">
          <bgColor rgb="FFFFE0B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A4500"/>
      </font>
      <fill>
        <patternFill patternType="solid">
          <bgColor rgb="FFFFE0B2"/>
        </patternFill>
      </fill>
    </dxf>
    <dxf>
      <font>
        <color rgb="FF14141B"/>
      </font>
      <fill>
        <patternFill patternType="solid">
          <bgColor rgb="FFE4F7A8"/>
        </patternFill>
      </fill>
    </dxf>
    <dxf>
      <font>
        <color rgb="FF2E7D32"/>
      </font>
      <fill>
        <patternFill patternType="solid">
          <bgColor rgb="FFFFFF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 t="s">
        <v>5</v>
      </c>
    </row>
    <row r="6" spans="1:2" x14ac:dyDescent="0.25">
      <c r="A6" s="4" t="s">
        <v>6</v>
      </c>
      <c r="B6" s="4" t="s">
        <v>7</v>
      </c>
    </row>
    <row r="7" spans="1:2" x14ac:dyDescent="0.25">
      <c r="A7" s="4" t="s">
        <v>5</v>
      </c>
      <c r="B7" s="4" t="s">
        <v>8</v>
      </c>
    </row>
    <row r="8" spans="1:2" x14ac:dyDescent="0.25">
      <c r="A8" s="4" t="s">
        <v>9</v>
      </c>
      <c r="B8" s="4" t="s">
        <v>10</v>
      </c>
    </row>
    <row r="9" spans="1:2" x14ac:dyDescent="0.25">
      <c r="A9" s="4" t="s">
        <v>11</v>
      </c>
      <c r="B9" s="4" t="s">
        <v>12</v>
      </c>
    </row>
    <row r="10" spans="1:2" x14ac:dyDescent="0.25">
      <c r="A10" s="4" t="s">
        <v>5</v>
      </c>
      <c r="B10" s="4" t="s">
        <v>13</v>
      </c>
    </row>
    <row r="11" spans="1:2" x14ac:dyDescent="0.25">
      <c r="A11" s="4" t="s">
        <v>14</v>
      </c>
      <c r="B11" s="4" t="s">
        <v>15</v>
      </c>
    </row>
    <row r="12" spans="1:2" x14ac:dyDescent="0.25">
      <c r="A12" s="4" t="s">
        <v>16</v>
      </c>
      <c r="B12" s="4" t="s">
        <v>5</v>
      </c>
    </row>
    <row r="13" spans="1:2" x14ac:dyDescent="0.25">
      <c r="A13" s="4" t="s">
        <v>17</v>
      </c>
      <c r="B13" s="4" t="s">
        <v>18</v>
      </c>
    </row>
    <row r="14" spans="1:2" x14ac:dyDescent="0.25">
      <c r="A14" s="4" t="s">
        <v>19</v>
      </c>
      <c r="B14" s="4" t="s">
        <v>20</v>
      </c>
    </row>
    <row r="15" spans="1:2" x14ac:dyDescent="0.25">
      <c r="A15" s="4" t="s">
        <v>21</v>
      </c>
      <c r="B15" s="4" t="s">
        <v>22</v>
      </c>
    </row>
    <row r="16" spans="1:2" x14ac:dyDescent="0.25">
      <c r="A16" s="4" t="s">
        <v>23</v>
      </c>
      <c r="B16" s="4" t="s">
        <v>24</v>
      </c>
    </row>
    <row r="17" spans="1:2" x14ac:dyDescent="0.25">
      <c r="A17" s="4" t="s">
        <v>25</v>
      </c>
      <c r="B17" s="4" t="s">
        <v>26</v>
      </c>
    </row>
    <row r="18" spans="1:2" x14ac:dyDescent="0.25">
      <c r="A18" s="4" t="s">
        <v>27</v>
      </c>
      <c r="B18" s="4" t="s">
        <v>28</v>
      </c>
    </row>
    <row r="19" spans="1:2" x14ac:dyDescent="0.25">
      <c r="A19" s="4" t="s">
        <v>29</v>
      </c>
      <c r="B19" s="4" t="s">
        <v>30</v>
      </c>
    </row>
    <row r="20" spans="1:2" x14ac:dyDescent="0.25">
      <c r="A20" s="4" t="s">
        <v>31</v>
      </c>
      <c r="B20" s="4" t="s">
        <v>5</v>
      </c>
    </row>
    <row r="21" spans="1:2" x14ac:dyDescent="0.25">
      <c r="A21" s="4" t="s">
        <v>32</v>
      </c>
      <c r="B21" s="4" t="s">
        <v>33</v>
      </c>
    </row>
    <row r="22" spans="1:2" x14ac:dyDescent="0.25">
      <c r="A22" s="4" t="s">
        <v>34</v>
      </c>
      <c r="B22" s="4" t="s">
        <v>35</v>
      </c>
    </row>
    <row r="23" spans="1:2" x14ac:dyDescent="0.25">
      <c r="A23" s="4" t="s">
        <v>36</v>
      </c>
      <c r="B23" s="4" t="s">
        <v>37</v>
      </c>
    </row>
    <row r="24" spans="1:2" x14ac:dyDescent="0.25">
      <c r="A24" s="4" t="s">
        <v>38</v>
      </c>
      <c r="B24" s="4" t="s">
        <v>39</v>
      </c>
    </row>
    <row r="25" spans="1:2" x14ac:dyDescent="0.25">
      <c r="A25" s="4" t="s">
        <v>40</v>
      </c>
      <c r="B25" s="4" t="s">
        <v>41</v>
      </c>
    </row>
    <row r="26" spans="1:2" x14ac:dyDescent="0.25">
      <c r="A26" s="4" t="s">
        <v>42</v>
      </c>
      <c r="B26" s="4" t="s">
        <v>43</v>
      </c>
    </row>
    <row r="27" spans="1:2" x14ac:dyDescent="0.25">
      <c r="A27" s="4" t="s">
        <v>44</v>
      </c>
      <c r="B27" s="4" t="s">
        <v>5</v>
      </c>
    </row>
    <row r="28" spans="1:2" x14ac:dyDescent="0.25">
      <c r="A28" s="4" t="s">
        <v>45</v>
      </c>
      <c r="B28" s="4" t="s">
        <v>46</v>
      </c>
    </row>
    <row r="29" spans="1:2" x14ac:dyDescent="0.25">
      <c r="A29" s="4" t="s">
        <v>47</v>
      </c>
      <c r="B29" s="4" t="s">
        <v>48</v>
      </c>
    </row>
    <row r="30" spans="1:2" x14ac:dyDescent="0.25">
      <c r="A30" s="4" t="s">
        <v>49</v>
      </c>
      <c r="B30" s="4" t="s">
        <v>50</v>
      </c>
    </row>
    <row r="31" spans="1:2" x14ac:dyDescent="0.25">
      <c r="A31" s="4" t="s">
        <v>51</v>
      </c>
      <c r="B31" s="4" t="s">
        <v>52</v>
      </c>
    </row>
    <row r="32" spans="1:2" x14ac:dyDescent="0.25">
      <c r="A32" s="4" t="s">
        <v>53</v>
      </c>
      <c r="B32" s="4" t="s">
        <v>54</v>
      </c>
    </row>
    <row r="33" spans="1:2" x14ac:dyDescent="0.25">
      <c r="A33" s="4" t="s">
        <v>55</v>
      </c>
      <c r="B33" s="4" t="s">
        <v>56</v>
      </c>
    </row>
    <row r="34" spans="1:2" x14ac:dyDescent="0.25">
      <c r="A34" s="4" t="s">
        <v>57</v>
      </c>
      <c r="B34" s="4" t="s">
        <v>58</v>
      </c>
    </row>
    <row r="35" spans="1:2" x14ac:dyDescent="0.25">
      <c r="A35" s="4" t="s">
        <v>5</v>
      </c>
      <c r="B35" s="4" t="s">
        <v>59</v>
      </c>
    </row>
    <row r="36" spans="1:2" x14ac:dyDescent="0.25">
      <c r="A36" s="4" t="s">
        <v>60</v>
      </c>
      <c r="B36" s="4" t="s">
        <v>61</v>
      </c>
    </row>
    <row r="37" spans="1:2" x14ac:dyDescent="0.25">
      <c r="A37" s="4" t="s">
        <v>34</v>
      </c>
      <c r="B37" s="4" t="s">
        <v>62</v>
      </c>
    </row>
    <row r="38" spans="1:2" x14ac:dyDescent="0.25">
      <c r="A38" s="4" t="s">
        <v>36</v>
      </c>
      <c r="B38" s="4" t="s">
        <v>63</v>
      </c>
    </row>
    <row r="39" spans="1:2" x14ac:dyDescent="0.25">
      <c r="A39" s="4" t="s">
        <v>38</v>
      </c>
      <c r="B39" s="4" t="s">
        <v>64</v>
      </c>
    </row>
    <row r="40" spans="1:2" x14ac:dyDescent="0.25">
      <c r="A40" s="4" t="s">
        <v>42</v>
      </c>
      <c r="B40" s="4" t="s">
        <v>65</v>
      </c>
    </row>
    <row r="41" spans="1:2" x14ac:dyDescent="0.25">
      <c r="A41" s="4" t="s">
        <v>32</v>
      </c>
      <c r="B41" s="4" t="s">
        <v>66</v>
      </c>
    </row>
    <row r="42" spans="1:2" x14ac:dyDescent="0.25">
      <c r="A42" s="4" t="s">
        <v>67</v>
      </c>
      <c r="B42" s="4" t="s">
        <v>68</v>
      </c>
    </row>
    <row r="43" spans="1:2" x14ac:dyDescent="0.25">
      <c r="A43" s="4" t="s">
        <v>69</v>
      </c>
      <c r="B43" s="4" t="s">
        <v>70</v>
      </c>
    </row>
    <row r="44" spans="1:2" x14ac:dyDescent="0.25">
      <c r="A44" s="4" t="s">
        <v>5</v>
      </c>
      <c r="B44" s="4" t="s">
        <v>71</v>
      </c>
    </row>
    <row r="45" spans="1:2" x14ac:dyDescent="0.25">
      <c r="A45" s="4" t="s">
        <v>5</v>
      </c>
      <c r="B45" s="4" t="s">
        <v>72</v>
      </c>
    </row>
    <row r="46" spans="1:2" x14ac:dyDescent="0.25">
      <c r="A46" s="4" t="s">
        <v>5</v>
      </c>
      <c r="B46" s="4" t="s">
        <v>73</v>
      </c>
    </row>
    <row r="47" spans="1:2" x14ac:dyDescent="0.25">
      <c r="A47" s="4" t="s">
        <v>74</v>
      </c>
      <c r="B47" s="4" t="s">
        <v>75</v>
      </c>
    </row>
    <row r="48" spans="1:2" x14ac:dyDescent="0.25">
      <c r="A48" s="4" t="s">
        <v>5</v>
      </c>
      <c r="B48" s="4" t="s">
        <v>76</v>
      </c>
    </row>
    <row r="49" spans="1:2" x14ac:dyDescent="0.25">
      <c r="A49" s="4" t="s">
        <v>5</v>
      </c>
      <c r="B49" s="4" t="s">
        <v>77</v>
      </c>
    </row>
    <row r="50" spans="1:2" x14ac:dyDescent="0.25">
      <c r="A50" s="4" t="s">
        <v>78</v>
      </c>
      <c r="B50" s="4" t="s">
        <v>5</v>
      </c>
    </row>
    <row r="51" spans="1:2" x14ac:dyDescent="0.25">
      <c r="A51" s="4" t="s">
        <v>5</v>
      </c>
      <c r="B51" s="4" t="s">
        <v>79</v>
      </c>
    </row>
    <row r="52" spans="1:2" x14ac:dyDescent="0.25">
      <c r="A52" s="4" t="s">
        <v>5</v>
      </c>
      <c r="B52" s="4" t="s">
        <v>80</v>
      </c>
    </row>
    <row r="53" spans="1:2" x14ac:dyDescent="0.25">
      <c r="A53" s="4" t="s">
        <v>81</v>
      </c>
      <c r="B53" s="4" t="s">
        <v>82</v>
      </c>
    </row>
    <row r="54" spans="1:2" x14ac:dyDescent="0.25">
      <c r="A54" s="4" t="s">
        <v>83</v>
      </c>
      <c r="B54" s="4" t="s">
        <v>84</v>
      </c>
    </row>
    <row r="55" spans="1:2" x14ac:dyDescent="0.25">
      <c r="A55" s="4" t="s">
        <v>85</v>
      </c>
      <c r="B55" s="4" t="s">
        <v>86</v>
      </c>
    </row>
    <row r="56" spans="1:2" x14ac:dyDescent="0.25">
      <c r="A56" s="4" t="s">
        <v>87</v>
      </c>
      <c r="B56" s="4" t="s">
        <v>88</v>
      </c>
    </row>
    <row r="57" spans="1:2" x14ac:dyDescent="0.25">
      <c r="A57" s="4" t="s">
        <v>89</v>
      </c>
      <c r="B57" s="4" t="s">
        <v>90</v>
      </c>
    </row>
    <row r="58" spans="1:2" x14ac:dyDescent="0.25">
      <c r="A58" s="4" t="s">
        <v>91</v>
      </c>
      <c r="B58" s="4" t="s">
        <v>92</v>
      </c>
    </row>
    <row r="59" spans="1:2" x14ac:dyDescent="0.25">
      <c r="A59" s="4" t="s">
        <v>93</v>
      </c>
      <c r="B59" s="4" t="s">
        <v>88</v>
      </c>
    </row>
    <row r="60" spans="1:2" x14ac:dyDescent="0.25">
      <c r="A60" s="4" t="s">
        <v>94</v>
      </c>
      <c r="B60" s="4" t="s">
        <v>90</v>
      </c>
    </row>
    <row r="61" spans="1:2" x14ac:dyDescent="0.25">
      <c r="A61" s="4" t="s">
        <v>95</v>
      </c>
      <c r="B61" s="4" t="s">
        <v>96</v>
      </c>
    </row>
    <row r="62" spans="1:2" x14ac:dyDescent="0.25">
      <c r="A62" s="4" t="s">
        <v>97</v>
      </c>
      <c r="B62" s="4" t="s">
        <v>5</v>
      </c>
    </row>
    <row r="63" spans="1:2" x14ac:dyDescent="0.25">
      <c r="A63" s="4" t="s">
        <v>98</v>
      </c>
      <c r="B63" s="4" t="s">
        <v>99</v>
      </c>
    </row>
    <row r="64" spans="1:2" x14ac:dyDescent="0.25">
      <c r="A64" s="4" t="s">
        <v>100</v>
      </c>
      <c r="B64" s="4" t="s">
        <v>101</v>
      </c>
    </row>
    <row r="65" spans="1:2" x14ac:dyDescent="0.25">
      <c r="A65" s="4" t="s">
        <v>102</v>
      </c>
      <c r="B65" s="4" t="s">
        <v>103</v>
      </c>
    </row>
    <row r="66" spans="1:2" x14ac:dyDescent="0.25">
      <c r="A66" s="4" t="s">
        <v>104</v>
      </c>
      <c r="B66" s="4" t="s">
        <v>5</v>
      </c>
    </row>
    <row r="67" spans="1:2" x14ac:dyDescent="0.25">
      <c r="A67" s="4" t="s">
        <v>105</v>
      </c>
      <c r="B67" s="4" t="s">
        <v>106</v>
      </c>
    </row>
    <row r="68" spans="1:2" x14ac:dyDescent="0.25">
      <c r="A68" s="4" t="s">
        <v>5</v>
      </c>
      <c r="B68" s="4" t="s">
        <v>107</v>
      </c>
    </row>
    <row r="69" spans="1:2" x14ac:dyDescent="0.25">
      <c r="A69" s="4" t="s">
        <v>108</v>
      </c>
      <c r="B69" s="4" t="s">
        <v>109</v>
      </c>
    </row>
    <row r="70" spans="1:2" x14ac:dyDescent="0.25">
      <c r="A70" s="4" t="s">
        <v>110</v>
      </c>
      <c r="B70" s="4" t="s">
        <v>111</v>
      </c>
    </row>
    <row r="71" spans="1:2" x14ac:dyDescent="0.25">
      <c r="A71" s="4" t="s">
        <v>112</v>
      </c>
      <c r="B71" s="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38" customWidth="1"/>
    <col min="4" max="5" width="20" customWidth="1"/>
    <col min="6" max="6" width="18" customWidth="1"/>
    <col min="7" max="7" width="12" customWidth="1"/>
    <col min="8" max="8" width="14" customWidth="1"/>
  </cols>
  <sheetData>
    <row r="1" spans="1:1" x14ac:dyDescent="0.25">
      <c r="A1" s="1" t="s">
        <v>32</v>
      </c>
    </row>
    <row r="2" spans="1:1" x14ac:dyDescent="0.25">
      <c r="A2" s="2" t="s">
        <v>114</v>
      </c>
    </row>
    <row r="4" spans="1:8" x14ac:dyDescent="0.25">
      <c r="A4" s="3" t="s">
        <v>115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120</v>
      </c>
      <c r="G4" s="3" t="s">
        <v>121</v>
      </c>
      <c r="H4" s="3" t="s">
        <v>122</v>
      </c>
    </row>
    <row r="5" spans="1:8" x14ac:dyDescent="0.25">
      <c r="A5" s="4" t="s">
        <v>123</v>
      </c>
      <c r="B5" s="5" t="s">
        <v>124</v>
      </c>
      <c r="C5" s="4" t="s">
        <v>125</v>
      </c>
      <c r="D5" s="5" t="s">
        <v>126</v>
      </c>
      <c r="E5" s="5" t="s">
        <v>127</v>
      </c>
      <c r="F5" s="5" t="s">
        <v>128</v>
      </c>
      <c r="G5" s="5" t="s">
        <v>129</v>
      </c>
      <c r="H5" s="4" t="s">
        <v>130</v>
      </c>
    </row>
    <row r="6" spans="1:8" x14ac:dyDescent="0.25">
      <c r="A6" s="4" t="s">
        <v>131</v>
      </c>
      <c r="B6" s="6">
        <v>46286</v>
      </c>
      <c r="C6" s="4" t="s">
        <v>132</v>
      </c>
      <c r="D6" s="5" t="s">
        <v>133</v>
      </c>
      <c r="E6" s="5" t="s">
        <v>134</v>
      </c>
      <c r="F6" s="5" t="s">
        <v>135</v>
      </c>
      <c r="G6" s="5" t="s">
        <v>136</v>
      </c>
      <c r="H6" s="4" t="s">
        <v>137</v>
      </c>
    </row>
    <row r="7" spans="1:8" x14ac:dyDescent="0.25">
      <c r="A7" s="4" t="s">
        <v>138</v>
      </c>
      <c r="B7" s="5">
        <v>15</v>
      </c>
      <c r="C7" s="4" t="s">
        <v>139</v>
      </c>
      <c r="D7" s="5" t="s">
        <v>140</v>
      </c>
      <c r="E7" s="5" t="s">
        <v>141</v>
      </c>
      <c r="F7" s="5" t="s">
        <v>142</v>
      </c>
      <c r="G7" s="5" t="s">
        <v>143</v>
      </c>
      <c r="H7" s="4" t="s">
        <v>144</v>
      </c>
    </row>
    <row r="8" spans="1:8" x14ac:dyDescent="0.25">
      <c r="A8" s="4" t="s">
        <v>145</v>
      </c>
      <c r="B8" s="5" t="s">
        <v>146</v>
      </c>
      <c r="C8" s="4" t="s">
        <v>147</v>
      </c>
      <c r="D8" s="5" t="s">
        <v>148</v>
      </c>
      <c r="E8" s="5" t="s">
        <v>149</v>
      </c>
      <c r="F8" s="5" t="s">
        <v>150</v>
      </c>
      <c r="G8" s="5" t="s">
        <v>151</v>
      </c>
      <c r="H8" s="4" t="s">
        <v>152</v>
      </c>
    </row>
    <row r="9" spans="1:8" x14ac:dyDescent="0.25">
      <c r="A9" s="4"/>
      <c r="B9" s="5"/>
      <c r="C9" s="4"/>
      <c r="D9" s="5" t="s">
        <v>153</v>
      </c>
      <c r="E9" s="5" t="s">
        <v>154</v>
      </c>
      <c r="F9" s="5"/>
      <c r="G9" s="5" t="s">
        <v>155</v>
      </c>
      <c r="H9" s="4" t="s">
        <v>156</v>
      </c>
    </row>
    <row r="10" spans="1:8" x14ac:dyDescent="0.25">
      <c r="A10" s="4"/>
      <c r="B10" s="5"/>
      <c r="C10" s="4"/>
      <c r="D10" s="5" t="s">
        <v>157</v>
      </c>
      <c r="E10" s="5" t="s">
        <v>158</v>
      </c>
      <c r="F10" s="5"/>
      <c r="G10" s="5" t="s">
        <v>159</v>
      </c>
      <c r="H10" s="4"/>
    </row>
    <row r="11" spans="1:8" x14ac:dyDescent="0.25">
      <c r="A11" s="4"/>
      <c r="B11" s="5"/>
      <c r="C11" s="4"/>
      <c r="D11" s="5" t="s">
        <v>160</v>
      </c>
      <c r="E11" s="5" t="s">
        <v>161</v>
      </c>
      <c r="F11" s="5"/>
      <c r="G11" s="5" t="s">
        <v>162</v>
      </c>
      <c r="H11" s="4"/>
    </row>
    <row r="12" spans="1:8" x14ac:dyDescent="0.25">
      <c r="A12" s="4"/>
      <c r="B12" s="5"/>
      <c r="C12" s="4"/>
      <c r="D12" s="5" t="s">
        <v>163</v>
      </c>
      <c r="E12" s="5" t="s">
        <v>164</v>
      </c>
      <c r="F12" s="5"/>
      <c r="G12" s="5"/>
      <c r="H12" s="4"/>
    </row>
    <row r="13" spans="1:8" x14ac:dyDescent="0.25">
      <c r="A13" s="4"/>
      <c r="B13" s="5"/>
      <c r="C13" s="4"/>
      <c r="D13" s="5" t="s">
        <v>165</v>
      </c>
      <c r="E13" s="5" t="s">
        <v>166</v>
      </c>
      <c r="F13" s="5"/>
      <c r="G13" s="5"/>
      <c r="H13" s="4"/>
    </row>
    <row r="14" spans="1:8" x14ac:dyDescent="0.25">
      <c r="A14" s="4"/>
      <c r="B14" s="5"/>
      <c r="C14" s="4"/>
      <c r="D14" s="5" t="s">
        <v>167</v>
      </c>
      <c r="E14" s="5" t="s">
        <v>168</v>
      </c>
      <c r="F14" s="5"/>
      <c r="G14" s="5"/>
      <c r="H14" s="4"/>
    </row>
    <row r="15" spans="1:8" x14ac:dyDescent="0.25">
      <c r="A15" s="4"/>
      <c r="B15" s="5"/>
      <c r="C15" s="4"/>
      <c r="D15" s="5"/>
      <c r="E15" s="5"/>
      <c r="F15" s="5"/>
      <c r="G15" s="5"/>
      <c r="H15" s="4"/>
    </row>
    <row r="16" spans="1:8" x14ac:dyDescent="0.25">
      <c r="A16" s="4"/>
      <c r="B16" s="5"/>
      <c r="C16" s="4"/>
      <c r="D16" s="5"/>
      <c r="E16" s="5"/>
      <c r="F16" s="5"/>
      <c r="G16" s="5"/>
      <c r="H16" s="4"/>
    </row>
    <row r="17" spans="1:8" x14ac:dyDescent="0.25">
      <c r="A17" s="4"/>
      <c r="B17" s="5"/>
      <c r="C17" s="4"/>
      <c r="D17" s="5"/>
      <c r="E17" s="5"/>
      <c r="F17" s="5"/>
      <c r="G17" s="5"/>
      <c r="H17" s="4"/>
    </row>
    <row r="18" spans="1:8" x14ac:dyDescent="0.25">
      <c r="A18" s="4"/>
      <c r="B18" s="5"/>
      <c r="C18" s="4"/>
      <c r="D18" s="5"/>
      <c r="E18" s="5"/>
      <c r="F18" s="5"/>
      <c r="G18" s="5"/>
      <c r="H18" s="4"/>
    </row>
    <row r="19" spans="1:8" x14ac:dyDescent="0.25">
      <c r="A19" s="4"/>
      <c r="B19" s="5"/>
      <c r="C19" s="4"/>
      <c r="D19" s="5"/>
      <c r="E19" s="5"/>
      <c r="F19" s="5"/>
      <c r="G19" s="5"/>
      <c r="H19" s="4"/>
    </row>
    <row r="20" spans="1:8" x14ac:dyDescent="0.25">
      <c r="A20" s="4"/>
      <c r="B20" s="5"/>
      <c r="C20" s="4"/>
      <c r="D20" s="5"/>
      <c r="E20" s="5"/>
      <c r="F20" s="5"/>
      <c r="G20" s="5"/>
      <c r="H20" s="4"/>
    </row>
    <row r="21" spans="1:8" x14ac:dyDescent="0.25">
      <c r="A21" s="4"/>
      <c r="B21" s="5"/>
      <c r="C21" s="4"/>
      <c r="D21" s="5"/>
      <c r="E21" s="5"/>
      <c r="F21" s="5"/>
      <c r="G21" s="5"/>
      <c r="H21" s="4"/>
    </row>
    <row r="22" spans="1:8" x14ac:dyDescent="0.25">
      <c r="A22" s="4"/>
      <c r="B22" s="5"/>
      <c r="C22" s="4"/>
      <c r="D22" s="5"/>
      <c r="E22" s="5"/>
      <c r="F22" s="5"/>
      <c r="G22" s="5"/>
      <c r="H22" s="4"/>
    </row>
    <row r="23" spans="1:8" x14ac:dyDescent="0.25">
      <c r="A23" s="4"/>
      <c r="B23" s="5"/>
      <c r="C23" s="4"/>
      <c r="D23" s="5"/>
      <c r="E23" s="5"/>
      <c r="F23" s="5"/>
      <c r="G23" s="5"/>
      <c r="H23" s="4"/>
    </row>
    <row r="24" spans="1:8" x14ac:dyDescent="0.25">
      <c r="A24" s="4"/>
      <c r="B24" s="5"/>
      <c r="C24" s="4"/>
      <c r="D24" s="5"/>
      <c r="E24" s="5"/>
      <c r="F24" s="5"/>
      <c r="G24" s="5"/>
      <c r="H24" s="4"/>
    </row>
    <row r="25" spans="1:8" x14ac:dyDescent="0.25">
      <c r="A25" s="4"/>
      <c r="B25" s="5"/>
      <c r="C25" s="4"/>
      <c r="D25" s="5"/>
      <c r="E25" s="5"/>
      <c r="F25" s="5"/>
      <c r="G25" s="5"/>
      <c r="H25" s="4"/>
    </row>
    <row r="26" spans="1:8" x14ac:dyDescent="0.25">
      <c r="A26" s="4"/>
      <c r="B26" s="5"/>
      <c r="C26" s="4"/>
      <c r="D26" s="5"/>
      <c r="E26" s="5"/>
      <c r="F26" s="5"/>
      <c r="G26" s="5"/>
      <c r="H26" s="4"/>
    </row>
    <row r="27" spans="1:8" x14ac:dyDescent="0.25">
      <c r="A27" s="4"/>
      <c r="B27" s="5"/>
      <c r="C27" s="4"/>
      <c r="D27" s="5"/>
      <c r="E27" s="5"/>
      <c r="F27" s="5"/>
      <c r="G27" s="5"/>
      <c r="H27" s="4"/>
    </row>
    <row r="28" spans="1:8" x14ac:dyDescent="0.25">
      <c r="A28" s="4"/>
      <c r="B28" s="5"/>
      <c r="C28" s="4"/>
      <c r="D28" s="5"/>
      <c r="E28" s="5"/>
      <c r="F28" s="5"/>
      <c r="G28" s="5"/>
      <c r="H28" s="4"/>
    </row>
    <row r="29" spans="1:8" x14ac:dyDescent="0.25">
      <c r="A29" s="4"/>
      <c r="B29" s="5"/>
      <c r="C29" s="4"/>
      <c r="D29" s="5"/>
      <c r="E29" s="5"/>
      <c r="F29" s="5"/>
      <c r="G29" s="5"/>
      <c r="H29" s="4"/>
    </row>
    <row r="30" spans="1:8" x14ac:dyDescent="0.25">
      <c r="A30" s="4"/>
      <c r="B30" s="5"/>
      <c r="C30" s="4"/>
      <c r="D30" s="5"/>
      <c r="E30" s="5"/>
      <c r="F30" s="5"/>
      <c r="G30" s="5"/>
      <c r="H30" s="4"/>
    </row>
    <row r="31" spans="1:8" x14ac:dyDescent="0.25">
      <c r="A31" s="4"/>
      <c r="B31" s="5"/>
      <c r="C31" s="4"/>
      <c r="D31" s="5"/>
      <c r="E31" s="5"/>
      <c r="F31" s="5"/>
      <c r="G31" s="5"/>
      <c r="H31" s="4"/>
    </row>
    <row r="32" spans="1:8" x14ac:dyDescent="0.25">
      <c r="A32" s="4"/>
      <c r="B32" s="5"/>
      <c r="C32" s="4"/>
      <c r="D32" s="5"/>
      <c r="E32" s="5"/>
      <c r="F32" s="5"/>
      <c r="G32" s="5"/>
      <c r="H32" s="4"/>
    </row>
    <row r="33" spans="1:8" x14ac:dyDescent="0.25">
      <c r="A33" s="4"/>
      <c r="B33" s="5"/>
      <c r="C33" s="4"/>
      <c r="D33" s="5"/>
      <c r="E33" s="5"/>
      <c r="F33" s="5"/>
      <c r="G33" s="5"/>
      <c r="H33" s="4"/>
    </row>
    <row r="34" spans="1:8" x14ac:dyDescent="0.25">
      <c r="A34" s="4"/>
      <c r="B34" s="5"/>
      <c r="C34" s="4"/>
      <c r="D34" s="5"/>
      <c r="E34" s="5"/>
      <c r="F34" s="5"/>
      <c r="G34" s="5"/>
      <c r="H34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6" customWidth="1"/>
    <col min="3" max="4" width="18" customWidth="1"/>
    <col min="5" max="5" width="16" customWidth="1"/>
    <col min="6" max="6" width="11" customWidth="1"/>
    <col min="8" max="8" width="12" customWidth="1"/>
    <col min="9" max="9" width="8" customWidth="1"/>
    <col min="10" max="10" width="13" customWidth="1"/>
    <col min="11" max="11" width="12" customWidth="1"/>
    <col min="12" max="12" width="24" customWidth="1"/>
    <col min="13" max="13" width="18" customWidth="1"/>
  </cols>
  <sheetData>
    <row r="1" spans="1:1" x14ac:dyDescent="0.25">
      <c r="A1" s="1" t="s">
        <v>34</v>
      </c>
    </row>
    <row r="2" spans="1:1" x14ac:dyDescent="0.25">
      <c r="A2" s="2" t="s">
        <v>169</v>
      </c>
    </row>
    <row r="4" spans="1:13" x14ac:dyDescent="0.25">
      <c r="A4" s="3" t="s">
        <v>170</v>
      </c>
      <c r="B4" s="3" t="s">
        <v>129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175</v>
      </c>
      <c r="H4" s="3" t="s">
        <v>176</v>
      </c>
      <c r="I4" s="3" t="s">
        <v>177</v>
      </c>
      <c r="J4" s="3" t="s">
        <v>178</v>
      </c>
      <c r="K4" s="3" t="s">
        <v>121</v>
      </c>
      <c r="L4" s="3" t="s">
        <v>179</v>
      </c>
      <c r="M4" s="3" t="s">
        <v>55</v>
      </c>
    </row>
    <row r="5" spans="1:13" x14ac:dyDescent="0.25">
      <c r="A5" s="4">
        <f>IF(B5="","",ROW()-4)</f>
      </c>
      <c r="B5" s="5" t="s">
        <v>180</v>
      </c>
      <c r="C5" s="5" t="s">
        <v>126</v>
      </c>
      <c r="D5" s="5" t="s">
        <v>141</v>
      </c>
      <c r="E5" s="5" t="s">
        <v>181</v>
      </c>
      <c r="F5" s="5">
        <v>5</v>
      </c>
      <c r="G5" s="5">
        <v>4</v>
      </c>
      <c r="H5" s="5">
        <v>4</v>
      </c>
      <c r="I5" s="4">
        <f>IF(B5="","",SUM(F5:H5))</f>
      </c>
      <c r="J5" s="4">
        <f>IF(I5="","",IF(I5&gt;=12,"🟢 Top pick",""))</f>
      </c>
      <c r="K5" s="5" t="s">
        <v>159</v>
      </c>
      <c r="L5" s="5" t="s">
        <v>182</v>
      </c>
      <c r="M5" s="4">
        <f>IF((COUNTIF(Settings!$D$5:$D$34,C5)+(C5=""))*(COUNTIF(Settings!$E$5:$E$34,D5)+(D5="")),"","⚠ Not in Settings")</f>
      </c>
    </row>
    <row r="6" spans="1:13" x14ac:dyDescent="0.25">
      <c r="A6" s="4">
        <f>IF(B6="","",ROW()-4)</f>
      </c>
      <c r="B6" s="5" t="s">
        <v>183</v>
      </c>
      <c r="C6" s="5" t="s">
        <v>126</v>
      </c>
      <c r="D6" s="5" t="s">
        <v>154</v>
      </c>
      <c r="E6" s="5" t="s">
        <v>181</v>
      </c>
      <c r="F6" s="5">
        <v>4</v>
      </c>
      <c r="G6" s="5">
        <v>3</v>
      </c>
      <c r="H6" s="5">
        <v>4</v>
      </c>
      <c r="I6" s="4">
        <f>IF(B6="","",SUM(F6:H6))</f>
      </c>
      <c r="J6" s="4">
        <f>IF(I6="","",IF(I6&gt;=12,"🟢 Top pick",""))</f>
      </c>
      <c r="K6" s="5" t="s">
        <v>159</v>
      </c>
      <c r="L6" s="5" t="s">
        <v>184</v>
      </c>
      <c r="M6" s="4">
        <f>IF((COUNTIF(Settings!$D$5:$D$34,C6)+(C6=""))*(COUNTIF(Settings!$E$5:$E$34,D6)+(D6="")),"","⚠ Not in Settings")</f>
      </c>
    </row>
    <row r="7" spans="1:13" x14ac:dyDescent="0.25">
      <c r="A7" s="4">
        <f>IF(B7="","",ROW()-4)</f>
      </c>
      <c r="B7" s="5" t="s">
        <v>185</v>
      </c>
      <c r="C7" s="5" t="s">
        <v>126</v>
      </c>
      <c r="D7" s="5" t="s">
        <v>141</v>
      </c>
      <c r="E7" s="5" t="s">
        <v>186</v>
      </c>
      <c r="F7" s="5">
        <v>5</v>
      </c>
      <c r="G7" s="5">
        <v>4</v>
      </c>
      <c r="H7" s="5">
        <v>3</v>
      </c>
      <c r="I7" s="4">
        <f>IF(B7="","",SUM(F7:H7))</f>
      </c>
      <c r="J7" s="4">
        <f>IF(I7="","",IF(I7&gt;=12,"🟢 Top pick",""))</f>
      </c>
      <c r="K7" s="5" t="s">
        <v>159</v>
      </c>
      <c r="L7" s="5"/>
      <c r="M7" s="4">
        <f>IF((COUNTIF(Settings!$D$5:$D$34,C7)+(C7=""))*(COUNTIF(Settings!$E$5:$E$34,D7)+(D7="")),"","⚠ Not in Settings")</f>
      </c>
    </row>
    <row r="8" spans="1:13" x14ac:dyDescent="0.25">
      <c r="A8" s="4">
        <f>IF(B8="","",ROW()-4)</f>
      </c>
      <c r="B8" s="5" t="s">
        <v>187</v>
      </c>
      <c r="C8" s="5" t="s">
        <v>126</v>
      </c>
      <c r="D8" s="5" t="s">
        <v>161</v>
      </c>
      <c r="E8" s="5" t="s">
        <v>181</v>
      </c>
      <c r="F8" s="5">
        <v>4</v>
      </c>
      <c r="G8" s="5">
        <v>4</v>
      </c>
      <c r="H8" s="5">
        <v>4</v>
      </c>
      <c r="I8" s="4">
        <f>IF(B8="","",SUM(F8:H8))</f>
      </c>
      <c r="J8" s="4">
        <f>IF(I8="","",IF(I8&gt;=12,"🟢 Top pick",""))</f>
      </c>
      <c r="K8" s="5" t="s">
        <v>159</v>
      </c>
      <c r="L8" s="5"/>
      <c r="M8" s="4">
        <f>IF((COUNTIF(Settings!$D$5:$D$34,C8)+(C8=""))*(COUNTIF(Settings!$E$5:$E$34,D8)+(D8="")),"","⚠ Not in Settings")</f>
      </c>
    </row>
    <row r="9" spans="1:13" x14ac:dyDescent="0.25">
      <c r="A9" s="4">
        <f>IF(B9="","",ROW()-4)</f>
      </c>
      <c r="B9" s="5" t="s">
        <v>188</v>
      </c>
      <c r="C9" s="5" t="s">
        <v>126</v>
      </c>
      <c r="D9" s="5" t="s">
        <v>127</v>
      </c>
      <c r="E9" s="5" t="s">
        <v>181</v>
      </c>
      <c r="F9" s="5">
        <v>5</v>
      </c>
      <c r="G9" s="5">
        <v>3</v>
      </c>
      <c r="H9" s="5">
        <v>4</v>
      </c>
      <c r="I9" s="4">
        <f>IF(B9="","",SUM(F9:H9))</f>
      </c>
      <c r="J9" s="4">
        <f>IF(I9="","",IF(I9&gt;=12,"🟢 Top pick",""))</f>
      </c>
      <c r="K9" s="5" t="s">
        <v>159</v>
      </c>
      <c r="L9" s="5"/>
      <c r="M9" s="4">
        <f>IF((COUNTIF(Settings!$D$5:$D$34,C9)+(C9=""))*(COUNTIF(Settings!$E$5:$E$34,D9)+(D9="")),"","⚠ Not in Settings")</f>
      </c>
    </row>
    <row r="10" spans="1:13" x14ac:dyDescent="0.25">
      <c r="A10" s="4">
        <f>IF(B10="","",ROW()-4)</f>
      </c>
      <c r="B10" s="5" t="s">
        <v>189</v>
      </c>
      <c r="C10" s="5" t="s">
        <v>126</v>
      </c>
      <c r="D10" s="5" t="s">
        <v>154</v>
      </c>
      <c r="E10" s="5" t="s">
        <v>181</v>
      </c>
      <c r="F10" s="5">
        <v>3</v>
      </c>
      <c r="G10" s="5">
        <v>4</v>
      </c>
      <c r="H10" s="5">
        <v>4</v>
      </c>
      <c r="I10" s="4">
        <f>IF(B10="","",SUM(F10:H10))</f>
      </c>
      <c r="J10" s="4">
        <f>IF(I10="","",IF(I10&gt;=12,"🟢 Top pick",""))</f>
      </c>
      <c r="K10" s="5" t="s">
        <v>159</v>
      </c>
      <c r="L10" s="5"/>
      <c r="M10" s="4">
        <f>IF((COUNTIF(Settings!$D$5:$D$34,C10)+(C10=""))*(COUNTIF(Settings!$E$5:$E$34,D10)+(D10="")),"","⚠ Not in Settings")</f>
      </c>
    </row>
    <row r="11" spans="1:13" x14ac:dyDescent="0.25">
      <c r="A11" s="4">
        <f>IF(B11="","",ROW()-4)</f>
      </c>
      <c r="B11" s="5" t="s">
        <v>190</v>
      </c>
      <c r="C11" s="5" t="s">
        <v>126</v>
      </c>
      <c r="D11" s="5" t="s">
        <v>141</v>
      </c>
      <c r="E11" s="5" t="s">
        <v>181</v>
      </c>
      <c r="F11" s="5">
        <v>4</v>
      </c>
      <c r="G11" s="5">
        <v>4</v>
      </c>
      <c r="H11" s="5">
        <v>5</v>
      </c>
      <c r="I11" s="4">
        <f>IF(B11="","",SUM(F11:H11))</f>
      </c>
      <c r="J11" s="4">
        <f>IF(I11="","",IF(I11&gt;=12,"🟢 Top pick",""))</f>
      </c>
      <c r="K11" s="5" t="s">
        <v>143</v>
      </c>
      <c r="L11" s="5" t="s">
        <v>191</v>
      </c>
      <c r="M11" s="4">
        <f>IF((COUNTIF(Settings!$D$5:$D$34,C11)+(C11=""))*(COUNTIF(Settings!$E$5:$E$34,D11)+(D11="")),"","⚠ Not in Settings")</f>
      </c>
    </row>
    <row r="12" spans="1:13" x14ac:dyDescent="0.25">
      <c r="A12" s="4">
        <f>IF(B12="","",ROW()-4)</f>
      </c>
      <c r="B12" s="5" t="s">
        <v>192</v>
      </c>
      <c r="C12" s="5" t="s">
        <v>126</v>
      </c>
      <c r="D12" s="5" t="s">
        <v>161</v>
      </c>
      <c r="E12" s="5" t="s">
        <v>186</v>
      </c>
      <c r="F12" s="5">
        <v>3</v>
      </c>
      <c r="G12" s="5">
        <v>4</v>
      </c>
      <c r="H12" s="5">
        <v>3</v>
      </c>
      <c r="I12" s="4">
        <f>IF(B12="","",SUM(F12:H12))</f>
      </c>
      <c r="J12" s="4">
        <f>IF(I12="","",IF(I12&gt;=12,"🟢 Top pick",""))</f>
      </c>
      <c r="K12" s="5" t="s">
        <v>129</v>
      </c>
      <c r="L12" s="5"/>
      <c r="M12" s="4">
        <f>IF((COUNTIF(Settings!$D$5:$D$34,C12)+(C12=""))*(COUNTIF(Settings!$E$5:$E$34,D12)+(D12="")),"","⚠ Not in Settings")</f>
      </c>
    </row>
    <row r="13" spans="1:13" x14ac:dyDescent="0.25">
      <c r="A13" s="4">
        <f>IF(B13="","",ROW()-4)</f>
      </c>
      <c r="B13" s="5" t="s">
        <v>193</v>
      </c>
      <c r="C13" s="5" t="s">
        <v>126</v>
      </c>
      <c r="D13" s="5" t="s">
        <v>127</v>
      </c>
      <c r="E13" s="5" t="s">
        <v>181</v>
      </c>
      <c r="F13" s="5">
        <v>4</v>
      </c>
      <c r="G13" s="5">
        <v>5</v>
      </c>
      <c r="H13" s="5">
        <v>4</v>
      </c>
      <c r="I13" s="4">
        <f>IF(B13="","",SUM(F13:H13))</f>
      </c>
      <c r="J13" s="4">
        <f>IF(I13="","",IF(I13&gt;=12,"🟢 Top pick",""))</f>
      </c>
      <c r="K13" s="5" t="s">
        <v>143</v>
      </c>
      <c r="L13" s="5"/>
      <c r="M13" s="4">
        <f>IF((COUNTIF(Settings!$D$5:$D$34,C13)+(C13=""))*(COUNTIF(Settings!$E$5:$E$34,D13)+(D13="")),"","⚠ Not in Settings")</f>
      </c>
    </row>
    <row r="14" spans="1:13" x14ac:dyDescent="0.25">
      <c r="A14" s="4">
        <f>IF(B14="","",ROW()-4)</f>
      </c>
      <c r="B14" s="5" t="s">
        <v>194</v>
      </c>
      <c r="C14" s="5" t="s">
        <v>126</v>
      </c>
      <c r="D14" s="5" t="s">
        <v>141</v>
      </c>
      <c r="E14" s="5" t="s">
        <v>181</v>
      </c>
      <c r="F14" s="5">
        <v>5</v>
      </c>
      <c r="G14" s="5">
        <v>4</v>
      </c>
      <c r="H14" s="5">
        <v>4</v>
      </c>
      <c r="I14" s="4">
        <f>IF(B14="","",SUM(F14:H14))</f>
      </c>
      <c r="J14" s="4">
        <f>IF(I14="","",IF(I14&gt;=12,"🟢 Top pick",""))</f>
      </c>
      <c r="K14" s="5" t="s">
        <v>136</v>
      </c>
      <c r="L14" s="5" t="s">
        <v>195</v>
      </c>
      <c r="M14" s="4">
        <f>IF((COUNTIF(Settings!$D$5:$D$34,C14)+(C14=""))*(COUNTIF(Settings!$E$5:$E$34,D14)+(D14="")),"","⚠ Not in Settings")</f>
      </c>
    </row>
    <row r="15" spans="1:13" x14ac:dyDescent="0.25">
      <c r="A15" s="4">
        <f>IF(B15="","",ROW()-4)</f>
      </c>
      <c r="B15" s="5" t="s">
        <v>196</v>
      </c>
      <c r="C15" s="5" t="s">
        <v>126</v>
      </c>
      <c r="D15" s="5" t="s">
        <v>149</v>
      </c>
      <c r="E15" s="5" t="s">
        <v>181</v>
      </c>
      <c r="F15" s="5">
        <v>5</v>
      </c>
      <c r="G15" s="5">
        <v>3</v>
      </c>
      <c r="H15" s="5">
        <v>4</v>
      </c>
      <c r="I15" s="4">
        <f>IF(B15="","",SUM(F15:H15))</f>
      </c>
      <c r="J15" s="4">
        <f>IF(I15="","",IF(I15&gt;=12,"🟢 Top pick",""))</f>
      </c>
      <c r="K15" s="5" t="s">
        <v>129</v>
      </c>
      <c r="L15" s="5"/>
      <c r="M15" s="4">
        <f>IF((COUNTIF(Settings!$D$5:$D$34,C15)+(C15=""))*(COUNTIF(Settings!$E$5:$E$34,D15)+(D15="")),"","⚠ Not in Settings")</f>
      </c>
    </row>
    <row r="16" spans="1:13" x14ac:dyDescent="0.25">
      <c r="A16" s="4">
        <f>IF(B16="","",ROW()-4)</f>
      </c>
      <c r="B16" s="5" t="s">
        <v>197</v>
      </c>
      <c r="C16" s="5" t="s">
        <v>126</v>
      </c>
      <c r="D16" s="5" t="s">
        <v>141</v>
      </c>
      <c r="E16" s="5" t="s">
        <v>181</v>
      </c>
      <c r="F16" s="5">
        <v>5</v>
      </c>
      <c r="G16" s="5">
        <v>4</v>
      </c>
      <c r="H16" s="5">
        <v>3</v>
      </c>
      <c r="I16" s="4">
        <f>IF(B16="","",SUM(F16:H16))</f>
      </c>
      <c r="J16" s="4">
        <f>IF(I16="","",IF(I16&gt;=12,"🟢 Top pick",""))</f>
      </c>
      <c r="K16" s="5" t="s">
        <v>129</v>
      </c>
      <c r="L16" s="5"/>
      <c r="M16" s="4">
        <f>IF((COUNTIF(Settings!$D$5:$D$34,C16)+(C16=""))*(COUNTIF(Settings!$E$5:$E$34,D16)+(D16="")),"","⚠ Not in Settings")</f>
      </c>
    </row>
    <row r="17" spans="1:13" x14ac:dyDescent="0.25">
      <c r="A17" s="4">
        <f>IF(B17="","",ROW()-4)</f>
      </c>
      <c r="B17" s="5" t="s">
        <v>198</v>
      </c>
      <c r="C17" s="5" t="s">
        <v>126</v>
      </c>
      <c r="D17" s="5" t="s">
        <v>161</v>
      </c>
      <c r="E17" s="5" t="s">
        <v>181</v>
      </c>
      <c r="F17" s="5">
        <v>3</v>
      </c>
      <c r="G17" s="5">
        <v>4</v>
      </c>
      <c r="H17" s="5">
        <v>3</v>
      </c>
      <c r="I17" s="4">
        <f>IF(B17="","",SUM(F17:H17))</f>
      </c>
      <c r="J17" s="4">
        <f>IF(I17="","",IF(I17&gt;=12,"🟢 Top pick",""))</f>
      </c>
      <c r="K17" s="5" t="s">
        <v>129</v>
      </c>
      <c r="L17" s="5"/>
      <c r="M17" s="4">
        <f>IF((COUNTIF(Settings!$D$5:$D$34,C17)+(C17=""))*(COUNTIF(Settings!$E$5:$E$34,D17)+(D17="")),"","⚠ Not in Settings")</f>
      </c>
    </row>
    <row r="18" spans="1:13" x14ac:dyDescent="0.25">
      <c r="A18" s="4">
        <f>IF(B18="","",ROW()-4)</f>
      </c>
      <c r="B18" s="5" t="s">
        <v>199</v>
      </c>
      <c r="C18" s="5" t="s">
        <v>126</v>
      </c>
      <c r="D18" s="5" t="s">
        <v>127</v>
      </c>
      <c r="E18" s="5" t="s">
        <v>186</v>
      </c>
      <c r="F18" s="5">
        <v>4</v>
      </c>
      <c r="G18" s="5">
        <v>4</v>
      </c>
      <c r="H18" s="5">
        <v>4</v>
      </c>
      <c r="I18" s="4">
        <f>IF(B18="","",SUM(F18:H18))</f>
      </c>
      <c r="J18" s="4">
        <f>IF(I18="","",IF(I18&gt;=12,"🟢 Top pick",""))</f>
      </c>
      <c r="K18" s="5" t="s">
        <v>129</v>
      </c>
      <c r="L18" s="5"/>
      <c r="M18" s="4">
        <f>IF((COUNTIF(Settings!$D$5:$D$34,C18)+(C18=""))*(COUNTIF(Settings!$E$5:$E$34,D18)+(D18="")),"","⚠ Not in Settings")</f>
      </c>
    </row>
    <row r="19" spans="1:13" x14ac:dyDescent="0.25">
      <c r="A19" s="4">
        <f>IF(B19="","",ROW()-4)</f>
      </c>
      <c r="B19" s="5" t="s">
        <v>200</v>
      </c>
      <c r="C19" s="5" t="s">
        <v>126</v>
      </c>
      <c r="D19" s="5" t="s">
        <v>141</v>
      </c>
      <c r="E19" s="5" t="s">
        <v>181</v>
      </c>
      <c r="F19" s="5">
        <v>3</v>
      </c>
      <c r="G19" s="5">
        <v>3</v>
      </c>
      <c r="H19" s="5">
        <v>4</v>
      </c>
      <c r="I19" s="4">
        <f>IF(B19="","",SUM(F19:H19))</f>
      </c>
      <c r="J19" s="4">
        <f>IF(I19="","",IF(I19&gt;=12,"🟢 Top pick",""))</f>
      </c>
      <c r="K19" s="5" t="s">
        <v>162</v>
      </c>
      <c r="L19" s="5" t="s">
        <v>201</v>
      </c>
      <c r="M19" s="4">
        <f>IF((COUNTIF(Settings!$D$5:$D$34,C19)+(C19=""))*(COUNTIF(Settings!$E$5:$E$34,D19)+(D19="")),"","⚠ Not in Settings")</f>
      </c>
    </row>
    <row r="20" spans="1:13" x14ac:dyDescent="0.25">
      <c r="A20" s="4">
        <f>IF(B20="","",ROW()-4)</f>
      </c>
      <c r="B20" s="5" t="s">
        <v>202</v>
      </c>
      <c r="C20" s="5" t="s">
        <v>133</v>
      </c>
      <c r="D20" s="5" t="s">
        <v>134</v>
      </c>
      <c r="E20" s="5" t="s">
        <v>203</v>
      </c>
      <c r="F20" s="5">
        <v>4</v>
      </c>
      <c r="G20" s="5">
        <v>4</v>
      </c>
      <c r="H20" s="5">
        <v>5</v>
      </c>
      <c r="I20" s="4">
        <f>IF(B20="","",SUM(F20:H20))</f>
      </c>
      <c r="J20" s="4">
        <f>IF(I20="","",IF(I20&gt;=12,"🟢 Top pick",""))</f>
      </c>
      <c r="K20" s="5" t="s">
        <v>159</v>
      </c>
      <c r="L20" s="5"/>
      <c r="M20" s="4">
        <f>IF((COUNTIF(Settings!$D$5:$D$34,C20)+(C20=""))*(COUNTIF(Settings!$E$5:$E$34,D20)+(D20="")),"","⚠ Not in Settings")</f>
      </c>
    </row>
    <row r="21" spans="1:13" x14ac:dyDescent="0.25">
      <c r="A21" s="4">
        <f>IF(B21="","",ROW()-4)</f>
      </c>
      <c r="B21" s="5" t="s">
        <v>204</v>
      </c>
      <c r="C21" s="5" t="s">
        <v>133</v>
      </c>
      <c r="D21" s="5" t="s">
        <v>158</v>
      </c>
      <c r="E21" s="5" t="s">
        <v>205</v>
      </c>
      <c r="F21" s="5">
        <v>4</v>
      </c>
      <c r="G21" s="5">
        <v>4</v>
      </c>
      <c r="H21" s="5">
        <v>5</v>
      </c>
      <c r="I21" s="4">
        <f>IF(B21="","",SUM(F21:H21))</f>
      </c>
      <c r="J21" s="4">
        <f>IF(I21="","",IF(I21&gt;=12,"🟢 Top pick",""))</f>
      </c>
      <c r="K21" s="5" t="s">
        <v>159</v>
      </c>
      <c r="L21" s="5"/>
      <c r="M21" s="4">
        <f>IF((COUNTIF(Settings!$D$5:$D$34,C21)+(C21=""))*(COUNTIF(Settings!$E$5:$E$34,D21)+(D21="")),"","⚠ Not in Settings")</f>
      </c>
    </row>
    <row r="22" spans="1:13" x14ac:dyDescent="0.25">
      <c r="A22" s="4">
        <f>IF(B22="","",ROW()-4)</f>
      </c>
      <c r="B22" s="5" t="s">
        <v>206</v>
      </c>
      <c r="C22" s="5" t="s">
        <v>133</v>
      </c>
      <c r="D22" s="5" t="s">
        <v>158</v>
      </c>
      <c r="E22" s="5" t="s">
        <v>205</v>
      </c>
      <c r="F22" s="5">
        <v>4</v>
      </c>
      <c r="G22" s="5">
        <v>5</v>
      </c>
      <c r="H22" s="5">
        <v>5</v>
      </c>
      <c r="I22" s="4">
        <f>IF(B22="","",SUM(F22:H22))</f>
      </c>
      <c r="J22" s="4">
        <f>IF(I22="","",IF(I22&gt;=12,"🟢 Top pick",""))</f>
      </c>
      <c r="K22" s="5" t="s">
        <v>159</v>
      </c>
      <c r="L22" s="5"/>
      <c r="M22" s="4">
        <f>IF((COUNTIF(Settings!$D$5:$D$34,C22)+(C22=""))*(COUNTIF(Settings!$E$5:$E$34,D22)+(D22="")),"","⚠ Not in Settings")</f>
      </c>
    </row>
    <row r="23" spans="1:13" x14ac:dyDescent="0.25">
      <c r="A23" s="4">
        <f>IF(B23="","",ROW()-4)</f>
      </c>
      <c r="B23" s="5" t="s">
        <v>207</v>
      </c>
      <c r="C23" s="5" t="s">
        <v>133</v>
      </c>
      <c r="D23" s="5" t="s">
        <v>134</v>
      </c>
      <c r="E23" s="5" t="s">
        <v>205</v>
      </c>
      <c r="F23" s="5">
        <v>5</v>
      </c>
      <c r="G23" s="5">
        <v>4</v>
      </c>
      <c r="H23" s="5">
        <v>5</v>
      </c>
      <c r="I23" s="4">
        <f>IF(B23="","",SUM(F23:H23))</f>
      </c>
      <c r="J23" s="4">
        <f>IF(I23="","",IF(I23&gt;=12,"🟢 Top pick",""))</f>
      </c>
      <c r="K23" s="5" t="s">
        <v>159</v>
      </c>
      <c r="L23" s="5"/>
      <c r="M23" s="4">
        <f>IF((COUNTIF(Settings!$D$5:$D$34,C23)+(C23=""))*(COUNTIF(Settings!$E$5:$E$34,D23)+(D23="")),"","⚠ Not in Settings")</f>
      </c>
    </row>
    <row r="24" spans="1:13" x14ac:dyDescent="0.25">
      <c r="A24" s="4">
        <f>IF(B24="","",ROW()-4)</f>
      </c>
      <c r="B24" s="5" t="s">
        <v>208</v>
      </c>
      <c r="C24" s="5" t="s">
        <v>133</v>
      </c>
      <c r="D24" s="5" t="s">
        <v>149</v>
      </c>
      <c r="E24" s="5" t="s">
        <v>203</v>
      </c>
      <c r="F24" s="5">
        <v>5</v>
      </c>
      <c r="G24" s="5">
        <v>4</v>
      </c>
      <c r="H24" s="5">
        <v>5</v>
      </c>
      <c r="I24" s="4">
        <f>IF(B24="","",SUM(F24:H24))</f>
      </c>
      <c r="J24" s="4">
        <f>IF(I24="","",IF(I24&gt;=12,"🟢 Top pick",""))</f>
      </c>
      <c r="K24" s="5" t="s">
        <v>159</v>
      </c>
      <c r="L24" s="5"/>
      <c r="M24" s="4">
        <f>IF((COUNTIF(Settings!$D$5:$D$34,C24)+(C24=""))*(COUNTIF(Settings!$E$5:$E$34,D24)+(D24="")),"","⚠ Not in Settings")</f>
      </c>
    </row>
    <row r="25" spans="1:13" x14ac:dyDescent="0.25">
      <c r="A25" s="4">
        <f>IF(B25="","",ROW()-4)</f>
      </c>
      <c r="B25" s="5" t="s">
        <v>209</v>
      </c>
      <c r="C25" s="5" t="s">
        <v>133</v>
      </c>
      <c r="D25" s="5" t="s">
        <v>149</v>
      </c>
      <c r="E25" s="5" t="s">
        <v>205</v>
      </c>
      <c r="F25" s="5">
        <v>5</v>
      </c>
      <c r="G25" s="5">
        <v>4</v>
      </c>
      <c r="H25" s="5">
        <v>5</v>
      </c>
      <c r="I25" s="4">
        <f>IF(B25="","",SUM(F25:H25))</f>
      </c>
      <c r="J25" s="4">
        <f>IF(I25="","",IF(I25&gt;=12,"🟢 Top pick",""))</f>
      </c>
      <c r="K25" s="5" t="s">
        <v>159</v>
      </c>
      <c r="L25" s="5"/>
      <c r="M25" s="4">
        <f>IF((COUNTIF(Settings!$D$5:$D$34,C25)+(C25=""))*(COUNTIF(Settings!$E$5:$E$34,D25)+(D25="")),"","⚠ Not in Settings")</f>
      </c>
    </row>
    <row r="26" spans="1:13" x14ac:dyDescent="0.25">
      <c r="A26" s="4">
        <f>IF(B26="","",ROW()-4)</f>
      </c>
      <c r="B26" s="5" t="s">
        <v>210</v>
      </c>
      <c r="C26" s="5" t="s">
        <v>133</v>
      </c>
      <c r="D26" s="5" t="s">
        <v>149</v>
      </c>
      <c r="E26" s="5" t="s">
        <v>203</v>
      </c>
      <c r="F26" s="5">
        <v>5</v>
      </c>
      <c r="G26" s="5">
        <v>3</v>
      </c>
      <c r="H26" s="5">
        <v>4</v>
      </c>
      <c r="I26" s="4">
        <f>IF(B26="","",SUM(F26:H26))</f>
      </c>
      <c r="J26" s="4">
        <f>IF(I26="","",IF(I26&gt;=12,"🟢 Top pick",""))</f>
      </c>
      <c r="K26" s="5" t="s">
        <v>143</v>
      </c>
      <c r="L26" s="5" t="s">
        <v>211</v>
      </c>
      <c r="M26" s="4">
        <f>IF((COUNTIF(Settings!$D$5:$D$34,C26)+(C26=""))*(COUNTIF(Settings!$E$5:$E$34,D26)+(D26="")),"","⚠ Not in Settings")</f>
      </c>
    </row>
    <row r="27" spans="1:13" x14ac:dyDescent="0.25">
      <c r="A27" s="4">
        <f>IF(B27="","",ROW()-4)</f>
      </c>
      <c r="B27" s="5" t="s">
        <v>212</v>
      </c>
      <c r="C27" s="5" t="s">
        <v>133</v>
      </c>
      <c r="D27" s="5" t="s">
        <v>134</v>
      </c>
      <c r="E27" s="5" t="s">
        <v>205</v>
      </c>
      <c r="F27" s="5">
        <v>5</v>
      </c>
      <c r="G27" s="5">
        <v>3</v>
      </c>
      <c r="H27" s="5">
        <v>5</v>
      </c>
      <c r="I27" s="4">
        <f>IF(B27="","",SUM(F27:H27))</f>
      </c>
      <c r="J27" s="4">
        <f>IF(I27="","",IF(I27&gt;=12,"🟢 Top pick",""))</f>
      </c>
      <c r="K27" s="5" t="s">
        <v>136</v>
      </c>
      <c r="L27" s="5"/>
      <c r="M27" s="4">
        <f>IF((COUNTIF(Settings!$D$5:$D$34,C27)+(C27=""))*(COUNTIF(Settings!$E$5:$E$34,D27)+(D27="")),"","⚠ Not in Settings")</f>
      </c>
    </row>
    <row r="28" spans="1:13" x14ac:dyDescent="0.25">
      <c r="A28" s="4">
        <f>IF(B28="","",ROW()-4)</f>
      </c>
      <c r="B28" s="5" t="s">
        <v>213</v>
      </c>
      <c r="C28" s="5" t="s">
        <v>133</v>
      </c>
      <c r="D28" s="5" t="s">
        <v>127</v>
      </c>
      <c r="E28" s="5" t="s">
        <v>203</v>
      </c>
      <c r="F28" s="5">
        <v>4</v>
      </c>
      <c r="G28" s="5">
        <v>4</v>
      </c>
      <c r="H28" s="5">
        <v>4</v>
      </c>
      <c r="I28" s="4">
        <f>IF(B28="","",SUM(F28:H28))</f>
      </c>
      <c r="J28" s="4">
        <f>IF(I28="","",IF(I28&gt;=12,"🟢 Top pick",""))</f>
      </c>
      <c r="K28" s="5" t="s">
        <v>129</v>
      </c>
      <c r="L28" s="5"/>
      <c r="M28" s="4">
        <f>IF((COUNTIF(Settings!$D$5:$D$34,C28)+(C28=""))*(COUNTIF(Settings!$E$5:$E$34,D28)+(D28="")),"","⚠ Not in Settings")</f>
      </c>
    </row>
    <row r="29" spans="1:13" x14ac:dyDescent="0.25">
      <c r="A29" s="4">
        <f>IF(B29="","",ROW()-4)</f>
      </c>
      <c r="B29" s="5" t="s">
        <v>214</v>
      </c>
      <c r="C29" s="5" t="s">
        <v>133</v>
      </c>
      <c r="D29" s="5" t="s">
        <v>127</v>
      </c>
      <c r="E29" s="5" t="s">
        <v>186</v>
      </c>
      <c r="F29" s="5">
        <v>3</v>
      </c>
      <c r="G29" s="5">
        <v>3</v>
      </c>
      <c r="H29" s="5">
        <v>4</v>
      </c>
      <c r="I29" s="4">
        <f>IF(B29="","",SUM(F29:H29))</f>
      </c>
      <c r="J29" s="4">
        <f>IF(I29="","",IF(I29&gt;=12,"🟢 Top pick",""))</f>
      </c>
      <c r="K29" s="5" t="s">
        <v>129</v>
      </c>
      <c r="L29" s="5"/>
      <c r="M29" s="4">
        <f>IF((COUNTIF(Settings!$D$5:$D$34,C29)+(C29=""))*(COUNTIF(Settings!$E$5:$E$34,D29)+(D29="")),"","⚠ Not in Settings")</f>
      </c>
    </row>
    <row r="30" spans="1:13" x14ac:dyDescent="0.25">
      <c r="A30" s="4">
        <f>IF(B30="","",ROW()-4)</f>
      </c>
      <c r="B30" s="5" t="s">
        <v>215</v>
      </c>
      <c r="C30" s="5" t="s">
        <v>133</v>
      </c>
      <c r="D30" s="5" t="s">
        <v>149</v>
      </c>
      <c r="E30" s="5" t="s">
        <v>205</v>
      </c>
      <c r="F30" s="5">
        <v>4</v>
      </c>
      <c r="G30" s="5">
        <v>2</v>
      </c>
      <c r="H30" s="5">
        <v>4</v>
      </c>
      <c r="I30" s="4">
        <f>IF(B30="","",SUM(F30:H30))</f>
      </c>
      <c r="J30" s="4">
        <f>IF(I30="","",IF(I30&gt;=12,"🟢 Top pick",""))</f>
      </c>
      <c r="K30" s="5" t="s">
        <v>129</v>
      </c>
      <c r="L30" s="5" t="s">
        <v>211</v>
      </c>
      <c r="M30" s="4">
        <f>IF((COUNTIF(Settings!$D$5:$D$34,C30)+(C30=""))*(COUNTIF(Settings!$E$5:$E$34,D30)+(D30="")),"","⚠ Not in Settings")</f>
      </c>
    </row>
    <row r="31" spans="1:13" x14ac:dyDescent="0.25">
      <c r="A31" s="4">
        <f>IF(B31="","",ROW()-4)</f>
      </c>
      <c r="B31" s="5" t="s">
        <v>216</v>
      </c>
      <c r="C31" s="5" t="s">
        <v>133</v>
      </c>
      <c r="D31" s="5" t="s">
        <v>127</v>
      </c>
      <c r="E31" s="5" t="s">
        <v>203</v>
      </c>
      <c r="F31" s="5">
        <v>2</v>
      </c>
      <c r="G31" s="5">
        <v>3</v>
      </c>
      <c r="H31" s="5">
        <v>4</v>
      </c>
      <c r="I31" s="4">
        <f>IF(B31="","",SUM(F31:H31))</f>
      </c>
      <c r="J31" s="4">
        <f>IF(I31="","",IF(I31&gt;=12,"🟢 Top pick",""))</f>
      </c>
      <c r="K31" s="5" t="s">
        <v>129</v>
      </c>
      <c r="L31" s="5"/>
      <c r="M31" s="4">
        <f>IF((COUNTIF(Settings!$D$5:$D$34,C31)+(C31=""))*(COUNTIF(Settings!$E$5:$E$34,D31)+(D31="")),"","⚠ Not in Settings")</f>
      </c>
    </row>
    <row r="32" spans="1:13" x14ac:dyDescent="0.25">
      <c r="A32" s="4">
        <f>IF(B32="","",ROW()-4)</f>
      </c>
      <c r="B32" s="5" t="s">
        <v>217</v>
      </c>
      <c r="C32" s="5" t="s">
        <v>133</v>
      </c>
      <c r="D32" s="5" t="s">
        <v>158</v>
      </c>
      <c r="E32" s="5" t="s">
        <v>203</v>
      </c>
      <c r="F32" s="5">
        <v>3</v>
      </c>
      <c r="G32" s="5">
        <v>3</v>
      </c>
      <c r="H32" s="5">
        <v>4</v>
      </c>
      <c r="I32" s="4">
        <f>IF(B32="","",SUM(F32:H32))</f>
      </c>
      <c r="J32" s="4">
        <f>IF(I32="","",IF(I32&gt;=12,"🟢 Top pick",""))</f>
      </c>
      <c r="K32" s="5" t="s">
        <v>129</v>
      </c>
      <c r="L32" s="5"/>
      <c r="M32" s="4">
        <f>IF((COUNTIF(Settings!$D$5:$D$34,C32)+(C32=""))*(COUNTIF(Settings!$E$5:$E$34,D32)+(D32="")),"","⚠ Not in Settings")</f>
      </c>
    </row>
    <row r="33" spans="1:13" x14ac:dyDescent="0.25">
      <c r="A33" s="4">
        <f>IF(B33="","",ROW()-4)</f>
      </c>
      <c r="B33" s="5" t="s">
        <v>218</v>
      </c>
      <c r="C33" s="5" t="s">
        <v>133</v>
      </c>
      <c r="D33" s="5" t="s">
        <v>127</v>
      </c>
      <c r="E33" s="5" t="s">
        <v>205</v>
      </c>
      <c r="F33" s="5">
        <v>2</v>
      </c>
      <c r="G33" s="5">
        <v>3</v>
      </c>
      <c r="H33" s="5">
        <v>5</v>
      </c>
      <c r="I33" s="4">
        <f>IF(B33="","",SUM(F33:H33))</f>
      </c>
      <c r="J33" s="4">
        <f>IF(I33="","",IF(I33&gt;=12,"🟢 Top pick",""))</f>
      </c>
      <c r="K33" s="5" t="s">
        <v>129</v>
      </c>
      <c r="L33" s="5"/>
      <c r="M33" s="4">
        <f>IF((COUNTIF(Settings!$D$5:$D$34,C33)+(C33=""))*(COUNTIF(Settings!$E$5:$E$34,D33)+(D33="")),"","⚠ Not in Settings")</f>
      </c>
    </row>
    <row r="34" spans="1:13" x14ac:dyDescent="0.25">
      <c r="A34" s="4">
        <f>IF(B34="","",ROW()-4)</f>
      </c>
      <c r="B34" s="5" t="s">
        <v>219</v>
      </c>
      <c r="C34" s="5" t="s">
        <v>133</v>
      </c>
      <c r="D34" s="5" t="s">
        <v>134</v>
      </c>
      <c r="E34" s="5" t="s">
        <v>203</v>
      </c>
      <c r="F34" s="5">
        <v>2</v>
      </c>
      <c r="G34" s="5">
        <v>3</v>
      </c>
      <c r="H34" s="5">
        <v>3</v>
      </c>
      <c r="I34" s="4">
        <f>IF(B34="","",SUM(F34:H34))</f>
      </c>
      <c r="J34" s="4">
        <f>IF(I34="","",IF(I34&gt;=12,"🟢 Top pick",""))</f>
      </c>
      <c r="K34" s="5" t="s">
        <v>129</v>
      </c>
      <c r="L34" s="5"/>
      <c r="M34" s="4">
        <f>IF((COUNTIF(Settings!$D$5:$D$34,C34)+(C34=""))*(COUNTIF(Settings!$E$5:$E$34,D34)+(D34="")),"","⚠ Not in Settings")</f>
      </c>
    </row>
    <row r="35" spans="1:13" x14ac:dyDescent="0.25">
      <c r="A35" s="4">
        <f>IF(B35="","",ROW()-4)</f>
      </c>
      <c r="B35" s="5"/>
      <c r="C35" s="5"/>
      <c r="D35" s="5"/>
      <c r="E35" s="5"/>
      <c r="F35" s="5"/>
      <c r="G35" s="5"/>
      <c r="H35" s="5"/>
      <c r="I35" s="4">
        <f>IF(B35="","",SUM(F35:H35))</f>
      </c>
      <c r="J35" s="4">
        <f>IF(I35="","",IF(I35&gt;=12,"🟢 Top pick",""))</f>
      </c>
      <c r="K35" s="5"/>
      <c r="L35" s="5"/>
      <c r="M35" s="4">
        <f>IF((COUNTIF(Settings!$D$5:$D$34,C35)+(C35=""))*(COUNTIF(Settings!$E$5:$E$34,D35)+(D35="")),"","⚠ Not in Settings")</f>
      </c>
    </row>
    <row r="36" spans="1:13" x14ac:dyDescent="0.25">
      <c r="A36" s="4">
        <f>IF(B36="","",ROW()-4)</f>
      </c>
      <c r="B36" s="5"/>
      <c r="C36" s="5"/>
      <c r="D36" s="5"/>
      <c r="E36" s="5"/>
      <c r="F36" s="5"/>
      <c r="G36" s="5"/>
      <c r="H36" s="5"/>
      <c r="I36" s="4">
        <f>IF(B36="","",SUM(F36:H36))</f>
      </c>
      <c r="J36" s="4">
        <f>IF(I36="","",IF(I36&gt;=12,"🟢 Top pick",""))</f>
      </c>
      <c r="K36" s="5"/>
      <c r="L36" s="5"/>
      <c r="M36" s="4">
        <f>IF((COUNTIF(Settings!$D$5:$D$34,C36)+(C36=""))*(COUNTIF(Settings!$E$5:$E$34,D36)+(D36="")),"","⚠ Not in Settings")</f>
      </c>
    </row>
    <row r="37" spans="1:13" x14ac:dyDescent="0.25">
      <c r="A37" s="4">
        <f>IF(B37="","",ROW()-4)</f>
      </c>
      <c r="B37" s="5"/>
      <c r="C37" s="5"/>
      <c r="D37" s="5"/>
      <c r="E37" s="5"/>
      <c r="F37" s="5"/>
      <c r="G37" s="5"/>
      <c r="H37" s="5"/>
      <c r="I37" s="4">
        <f>IF(B37="","",SUM(F37:H37))</f>
      </c>
      <c r="J37" s="4">
        <f>IF(I37="","",IF(I37&gt;=12,"🟢 Top pick",""))</f>
      </c>
      <c r="K37" s="5"/>
      <c r="L37" s="5"/>
      <c r="M37" s="4">
        <f>IF((COUNTIF(Settings!$D$5:$D$34,C37)+(C37=""))*(COUNTIF(Settings!$E$5:$E$34,D37)+(D37="")),"","⚠ Not in Settings")</f>
      </c>
    </row>
    <row r="38" spans="1:13" x14ac:dyDescent="0.25">
      <c r="A38" s="4">
        <f>IF(B38="","",ROW()-4)</f>
      </c>
      <c r="B38" s="5"/>
      <c r="C38" s="5"/>
      <c r="D38" s="5"/>
      <c r="E38" s="5"/>
      <c r="F38" s="5"/>
      <c r="G38" s="5"/>
      <c r="H38" s="5"/>
      <c r="I38" s="4">
        <f>IF(B38="","",SUM(F38:H38))</f>
      </c>
      <c r="J38" s="4">
        <f>IF(I38="","",IF(I38&gt;=12,"🟢 Top pick",""))</f>
      </c>
      <c r="K38" s="5"/>
      <c r="L38" s="5"/>
      <c r="M38" s="4">
        <f>IF((COUNTIF(Settings!$D$5:$D$34,C38)+(C38=""))*(COUNTIF(Settings!$E$5:$E$34,D38)+(D38="")),"","⚠ Not in Settings")</f>
      </c>
    </row>
    <row r="39" spans="1:13" x14ac:dyDescent="0.25">
      <c r="A39" s="4">
        <f>IF(B39="","",ROW()-4)</f>
      </c>
      <c r="B39" s="5"/>
      <c r="C39" s="5"/>
      <c r="D39" s="5"/>
      <c r="E39" s="5"/>
      <c r="F39" s="5"/>
      <c r="G39" s="5"/>
      <c r="H39" s="5"/>
      <c r="I39" s="4">
        <f>IF(B39="","",SUM(F39:H39))</f>
      </c>
      <c r="J39" s="4">
        <f>IF(I39="","",IF(I39&gt;=12,"🟢 Top pick",""))</f>
      </c>
      <c r="K39" s="5"/>
      <c r="L39" s="5"/>
      <c r="M39" s="4">
        <f>IF((COUNTIF(Settings!$D$5:$D$34,C39)+(C39=""))*(COUNTIF(Settings!$E$5:$E$34,D39)+(D39="")),"","⚠ Not in Settings")</f>
      </c>
    </row>
    <row r="40" spans="1:13" x14ac:dyDescent="0.25">
      <c r="A40" s="4">
        <f>IF(B40="","",ROW()-4)</f>
      </c>
      <c r="B40" s="5"/>
      <c r="C40" s="5"/>
      <c r="D40" s="5"/>
      <c r="E40" s="5"/>
      <c r="F40" s="5"/>
      <c r="G40" s="5"/>
      <c r="H40" s="5"/>
      <c r="I40" s="4">
        <f>IF(B40="","",SUM(F40:H40))</f>
      </c>
      <c r="J40" s="4">
        <f>IF(I40="","",IF(I40&gt;=12,"🟢 Top pick",""))</f>
      </c>
      <c r="K40" s="5"/>
      <c r="L40" s="5"/>
      <c r="M40" s="4">
        <f>IF((COUNTIF(Settings!$D$5:$D$34,C40)+(C40=""))*(COUNTIF(Settings!$E$5:$E$34,D40)+(D40="")),"","⚠ Not in Settings")</f>
      </c>
    </row>
    <row r="41" spans="1:13" x14ac:dyDescent="0.25">
      <c r="A41" s="4">
        <f>IF(B41="","",ROW()-4)</f>
      </c>
      <c r="B41" s="5"/>
      <c r="C41" s="5"/>
      <c r="D41" s="5"/>
      <c r="E41" s="5"/>
      <c r="F41" s="5"/>
      <c r="G41" s="5"/>
      <c r="H41" s="5"/>
      <c r="I41" s="4">
        <f>IF(B41="","",SUM(F41:H41))</f>
      </c>
      <c r="J41" s="4">
        <f>IF(I41="","",IF(I41&gt;=12,"🟢 Top pick",""))</f>
      </c>
      <c r="K41" s="5"/>
      <c r="L41" s="5"/>
      <c r="M41" s="4">
        <f>IF((COUNTIF(Settings!$D$5:$D$34,C41)+(C41=""))*(COUNTIF(Settings!$E$5:$E$34,D41)+(D41="")),"","⚠ Not in Settings")</f>
      </c>
    </row>
    <row r="42" spans="1:13" x14ac:dyDescent="0.25">
      <c r="A42" s="4">
        <f>IF(B42="","",ROW()-4)</f>
      </c>
      <c r="B42" s="5"/>
      <c r="C42" s="5"/>
      <c r="D42" s="5"/>
      <c r="E42" s="5"/>
      <c r="F42" s="5"/>
      <c r="G42" s="5"/>
      <c r="H42" s="5"/>
      <c r="I42" s="4">
        <f>IF(B42="","",SUM(F42:H42))</f>
      </c>
      <c r="J42" s="4">
        <f>IF(I42="","",IF(I42&gt;=12,"🟢 Top pick",""))</f>
      </c>
      <c r="K42" s="5"/>
      <c r="L42" s="5"/>
      <c r="M42" s="4">
        <f>IF((COUNTIF(Settings!$D$5:$D$34,C42)+(C42=""))*(COUNTIF(Settings!$E$5:$E$34,D42)+(D42="")),"","⚠ Not in Settings")</f>
      </c>
    </row>
    <row r="43" spans="1:13" x14ac:dyDescent="0.25">
      <c r="A43" s="4">
        <f>IF(B43="","",ROW()-4)</f>
      </c>
      <c r="B43" s="5"/>
      <c r="C43" s="5"/>
      <c r="D43" s="5"/>
      <c r="E43" s="5"/>
      <c r="F43" s="5"/>
      <c r="G43" s="5"/>
      <c r="H43" s="5"/>
      <c r="I43" s="4">
        <f>IF(B43="","",SUM(F43:H43))</f>
      </c>
      <c r="J43" s="4">
        <f>IF(I43="","",IF(I43&gt;=12,"🟢 Top pick",""))</f>
      </c>
      <c r="K43" s="5"/>
      <c r="L43" s="5"/>
      <c r="M43" s="4">
        <f>IF((COUNTIF(Settings!$D$5:$D$34,C43)+(C43=""))*(COUNTIF(Settings!$E$5:$E$34,D43)+(D43="")),"","⚠ Not in Settings")</f>
      </c>
    </row>
    <row r="44" spans="1:13" x14ac:dyDescent="0.25">
      <c r="A44" s="4">
        <f>IF(B44="","",ROW()-4)</f>
      </c>
      <c r="B44" s="5"/>
      <c r="C44" s="5"/>
      <c r="D44" s="5"/>
      <c r="E44" s="5"/>
      <c r="F44" s="5"/>
      <c r="G44" s="5"/>
      <c r="H44" s="5"/>
      <c r="I44" s="4">
        <f>IF(B44="","",SUM(F44:H44))</f>
      </c>
      <c r="J44" s="4">
        <f>IF(I44="","",IF(I44&gt;=12,"🟢 Top pick",""))</f>
      </c>
      <c r="K44" s="5"/>
      <c r="L44" s="5"/>
      <c r="M44" s="4">
        <f>IF((COUNTIF(Settings!$D$5:$D$34,C44)+(C44=""))*(COUNTIF(Settings!$E$5:$E$34,D44)+(D44="")),"","⚠ Not in Settings")</f>
      </c>
    </row>
    <row r="45" spans="1:13" x14ac:dyDescent="0.25">
      <c r="A45" s="4">
        <f>IF(B45="","",ROW()-4)</f>
      </c>
      <c r="B45" s="5"/>
      <c r="C45" s="5"/>
      <c r="D45" s="5"/>
      <c r="E45" s="5"/>
      <c r="F45" s="5"/>
      <c r="G45" s="5"/>
      <c r="H45" s="5"/>
      <c r="I45" s="4">
        <f>IF(B45="","",SUM(F45:H45))</f>
      </c>
      <c r="J45" s="4">
        <f>IF(I45="","",IF(I45&gt;=12,"🟢 Top pick",""))</f>
      </c>
      <c r="K45" s="5"/>
      <c r="L45" s="5"/>
      <c r="M45" s="4">
        <f>IF((COUNTIF(Settings!$D$5:$D$34,C45)+(C45=""))*(COUNTIF(Settings!$E$5:$E$34,D45)+(D45="")),"","⚠ Not in Settings")</f>
      </c>
    </row>
    <row r="46" spans="1:13" x14ac:dyDescent="0.25">
      <c r="A46" s="4">
        <f>IF(B46="","",ROW()-4)</f>
      </c>
      <c r="B46" s="5"/>
      <c r="C46" s="5"/>
      <c r="D46" s="5"/>
      <c r="E46" s="5"/>
      <c r="F46" s="5"/>
      <c r="G46" s="5"/>
      <c r="H46" s="5"/>
      <c r="I46" s="4">
        <f>IF(B46="","",SUM(F46:H46))</f>
      </c>
      <c r="J46" s="4">
        <f>IF(I46="","",IF(I46&gt;=12,"🟢 Top pick",""))</f>
      </c>
      <c r="K46" s="5"/>
      <c r="L46" s="5"/>
      <c r="M46" s="4">
        <f>IF((COUNTIF(Settings!$D$5:$D$34,C46)+(C46=""))*(COUNTIF(Settings!$E$5:$E$34,D46)+(D46="")),"","⚠ Not in Settings")</f>
      </c>
    </row>
    <row r="47" spans="1:13" x14ac:dyDescent="0.25">
      <c r="A47" s="4">
        <f>IF(B47="","",ROW()-4)</f>
      </c>
      <c r="B47" s="5"/>
      <c r="C47" s="5"/>
      <c r="D47" s="5"/>
      <c r="E47" s="5"/>
      <c r="F47" s="5"/>
      <c r="G47" s="5"/>
      <c r="H47" s="5"/>
      <c r="I47" s="4">
        <f>IF(B47="","",SUM(F47:H47))</f>
      </c>
      <c r="J47" s="4">
        <f>IF(I47="","",IF(I47&gt;=12,"🟢 Top pick",""))</f>
      </c>
      <c r="K47" s="5"/>
      <c r="L47" s="5"/>
      <c r="M47" s="4">
        <f>IF((COUNTIF(Settings!$D$5:$D$34,C47)+(C47=""))*(COUNTIF(Settings!$E$5:$E$34,D47)+(D47="")),"","⚠ Not in Settings")</f>
      </c>
    </row>
    <row r="48" spans="1:13" x14ac:dyDescent="0.25">
      <c r="A48" s="4">
        <f>IF(B48="","",ROW()-4)</f>
      </c>
      <c r="B48" s="5"/>
      <c r="C48" s="5"/>
      <c r="D48" s="5"/>
      <c r="E48" s="5"/>
      <c r="F48" s="5"/>
      <c r="G48" s="5"/>
      <c r="H48" s="5"/>
      <c r="I48" s="4">
        <f>IF(B48="","",SUM(F48:H48))</f>
      </c>
      <c r="J48" s="4">
        <f>IF(I48="","",IF(I48&gt;=12,"🟢 Top pick",""))</f>
      </c>
      <c r="K48" s="5"/>
      <c r="L48" s="5"/>
      <c r="M48" s="4">
        <f>IF((COUNTIF(Settings!$D$5:$D$34,C48)+(C48=""))*(COUNTIF(Settings!$E$5:$E$34,D48)+(D48="")),"","⚠ Not in Settings")</f>
      </c>
    </row>
    <row r="49" spans="1:13" x14ac:dyDescent="0.25">
      <c r="A49" s="4">
        <f>IF(B49="","",ROW()-4)</f>
      </c>
      <c r="B49" s="5"/>
      <c r="C49" s="5"/>
      <c r="D49" s="5"/>
      <c r="E49" s="5"/>
      <c r="F49" s="5"/>
      <c r="G49" s="5"/>
      <c r="H49" s="5"/>
      <c r="I49" s="4">
        <f>IF(B49="","",SUM(F49:H49))</f>
      </c>
      <c r="J49" s="4">
        <f>IF(I49="","",IF(I49&gt;=12,"🟢 Top pick",""))</f>
      </c>
      <c r="K49" s="5"/>
      <c r="L49" s="5"/>
      <c r="M49" s="4">
        <f>IF((COUNTIF(Settings!$D$5:$D$34,C49)+(C49=""))*(COUNTIF(Settings!$E$5:$E$34,D49)+(D49="")),"","⚠ Not in Settings")</f>
      </c>
    </row>
    <row r="50" spans="1:13" x14ac:dyDescent="0.25">
      <c r="A50" s="4">
        <f>IF(B50="","",ROW()-4)</f>
      </c>
      <c r="B50" s="5"/>
      <c r="C50" s="5"/>
      <c r="D50" s="5"/>
      <c r="E50" s="5"/>
      <c r="F50" s="5"/>
      <c r="G50" s="5"/>
      <c r="H50" s="5"/>
      <c r="I50" s="4">
        <f>IF(B50="","",SUM(F50:H50))</f>
      </c>
      <c r="J50" s="4">
        <f>IF(I50="","",IF(I50&gt;=12,"🟢 Top pick",""))</f>
      </c>
      <c r="K50" s="5"/>
      <c r="L50" s="5"/>
      <c r="M50" s="4">
        <f>IF((COUNTIF(Settings!$D$5:$D$34,C50)+(C50=""))*(COUNTIF(Settings!$E$5:$E$34,D50)+(D50="")),"","⚠ Not in Settings")</f>
      </c>
    </row>
    <row r="51" spans="1:13" x14ac:dyDescent="0.25">
      <c r="A51" s="4">
        <f>IF(B51="","",ROW()-4)</f>
      </c>
      <c r="B51" s="5"/>
      <c r="C51" s="5"/>
      <c r="D51" s="5"/>
      <c r="E51" s="5"/>
      <c r="F51" s="5"/>
      <c r="G51" s="5"/>
      <c r="H51" s="5"/>
      <c r="I51" s="4">
        <f>IF(B51="","",SUM(F51:H51))</f>
      </c>
      <c r="J51" s="4">
        <f>IF(I51="","",IF(I51&gt;=12,"🟢 Top pick",""))</f>
      </c>
      <c r="K51" s="5"/>
      <c r="L51" s="5"/>
      <c r="M51" s="4">
        <f>IF((COUNTIF(Settings!$D$5:$D$34,C51)+(C51=""))*(COUNTIF(Settings!$E$5:$E$34,D51)+(D51="")),"","⚠ Not in Settings")</f>
      </c>
    </row>
    <row r="52" spans="1:13" x14ac:dyDescent="0.25">
      <c r="A52" s="4">
        <f>IF(B52="","",ROW()-4)</f>
      </c>
      <c r="B52" s="5"/>
      <c r="C52" s="5"/>
      <c r="D52" s="5"/>
      <c r="E52" s="5"/>
      <c r="F52" s="5"/>
      <c r="G52" s="5"/>
      <c r="H52" s="5"/>
      <c r="I52" s="4">
        <f>IF(B52="","",SUM(F52:H52))</f>
      </c>
      <c r="J52" s="4">
        <f>IF(I52="","",IF(I52&gt;=12,"🟢 Top pick",""))</f>
      </c>
      <c r="K52" s="5"/>
      <c r="L52" s="5"/>
      <c r="M52" s="4">
        <f>IF((COUNTIF(Settings!$D$5:$D$34,C52)+(C52=""))*(COUNTIF(Settings!$E$5:$E$34,D52)+(D52="")),"","⚠ Not in Settings")</f>
      </c>
    </row>
    <row r="53" spans="1:13" x14ac:dyDescent="0.25">
      <c r="A53" s="4">
        <f>IF(B53="","",ROW()-4)</f>
      </c>
      <c r="B53" s="5"/>
      <c r="C53" s="5"/>
      <c r="D53" s="5"/>
      <c r="E53" s="5"/>
      <c r="F53" s="5"/>
      <c r="G53" s="5"/>
      <c r="H53" s="5"/>
      <c r="I53" s="4">
        <f>IF(B53="","",SUM(F53:H53))</f>
      </c>
      <c r="J53" s="4">
        <f>IF(I53="","",IF(I53&gt;=12,"🟢 Top pick",""))</f>
      </c>
      <c r="K53" s="5"/>
      <c r="L53" s="5"/>
      <c r="M53" s="4">
        <f>IF((COUNTIF(Settings!$D$5:$D$34,C53)+(C53=""))*(COUNTIF(Settings!$E$5:$E$34,D53)+(D53="")),"","⚠ Not in Settings")</f>
      </c>
    </row>
    <row r="54" spans="1:13" x14ac:dyDescent="0.25">
      <c r="A54" s="4">
        <f>IF(B54="","",ROW()-4)</f>
      </c>
      <c r="B54" s="5"/>
      <c r="C54" s="5"/>
      <c r="D54" s="5"/>
      <c r="E54" s="5"/>
      <c r="F54" s="5"/>
      <c r="G54" s="5"/>
      <c r="H54" s="5"/>
      <c r="I54" s="4">
        <f>IF(B54="","",SUM(F54:H54))</f>
      </c>
      <c r="J54" s="4">
        <f>IF(I54="","",IF(I54&gt;=12,"🟢 Top pick",""))</f>
      </c>
      <c r="K54" s="5"/>
      <c r="L54" s="5"/>
      <c r="M54" s="4">
        <f>IF((COUNTIF(Settings!$D$5:$D$34,C54)+(C54=""))*(COUNTIF(Settings!$E$5:$E$34,D54)+(D54="")),"","⚠ Not in Settings")</f>
      </c>
    </row>
    <row r="55" spans="1:13" x14ac:dyDescent="0.25">
      <c r="A55" s="4">
        <f>IF(B55="","",ROW()-4)</f>
      </c>
      <c r="B55" s="5"/>
      <c r="C55" s="5"/>
      <c r="D55" s="5"/>
      <c r="E55" s="5"/>
      <c r="F55" s="5"/>
      <c r="G55" s="5"/>
      <c r="H55" s="5"/>
      <c r="I55" s="4">
        <f>IF(B55="","",SUM(F55:H55))</f>
      </c>
      <c r="J55" s="4">
        <f>IF(I55="","",IF(I55&gt;=12,"🟢 Top pick",""))</f>
      </c>
      <c r="K55" s="5"/>
      <c r="L55" s="5"/>
      <c r="M55" s="4">
        <f>IF((COUNTIF(Settings!$D$5:$D$34,C55)+(C55=""))*(COUNTIF(Settings!$E$5:$E$34,D55)+(D55="")),"","⚠ Not in Settings")</f>
      </c>
    </row>
    <row r="56" spans="1:13" x14ac:dyDescent="0.25">
      <c r="A56" s="4">
        <f>IF(B56="","",ROW()-4)</f>
      </c>
      <c r="B56" s="5"/>
      <c r="C56" s="5"/>
      <c r="D56" s="5"/>
      <c r="E56" s="5"/>
      <c r="F56" s="5"/>
      <c r="G56" s="5"/>
      <c r="H56" s="5"/>
      <c r="I56" s="4">
        <f>IF(B56="","",SUM(F56:H56))</f>
      </c>
      <c r="J56" s="4">
        <f>IF(I56="","",IF(I56&gt;=12,"🟢 Top pick",""))</f>
      </c>
      <c r="K56" s="5"/>
      <c r="L56" s="5"/>
      <c r="M56" s="4">
        <f>IF((COUNTIF(Settings!$D$5:$D$34,C56)+(C56=""))*(COUNTIF(Settings!$E$5:$E$34,D56)+(D56="")),"","⚠ Not in Settings")</f>
      </c>
    </row>
    <row r="57" spans="1:13" x14ac:dyDescent="0.25">
      <c r="A57" s="4">
        <f>IF(B57="","",ROW()-4)</f>
      </c>
      <c r="B57" s="5"/>
      <c r="C57" s="5"/>
      <c r="D57" s="5"/>
      <c r="E57" s="5"/>
      <c r="F57" s="5"/>
      <c r="G57" s="5"/>
      <c r="H57" s="5"/>
      <c r="I57" s="4">
        <f>IF(B57="","",SUM(F57:H57))</f>
      </c>
      <c r="J57" s="4">
        <f>IF(I57="","",IF(I57&gt;=12,"🟢 Top pick",""))</f>
      </c>
      <c r="K57" s="5"/>
      <c r="L57" s="5"/>
      <c r="M57" s="4">
        <f>IF((COUNTIF(Settings!$D$5:$D$34,C57)+(C57=""))*(COUNTIF(Settings!$E$5:$E$34,D57)+(D57="")),"","⚠ Not in Settings")</f>
      </c>
    </row>
    <row r="58" spans="1:13" x14ac:dyDescent="0.25">
      <c r="A58" s="4">
        <f>IF(B58="","",ROW()-4)</f>
      </c>
      <c r="B58" s="5"/>
      <c r="C58" s="5"/>
      <c r="D58" s="5"/>
      <c r="E58" s="5"/>
      <c r="F58" s="5"/>
      <c r="G58" s="5"/>
      <c r="H58" s="5"/>
      <c r="I58" s="4">
        <f>IF(B58="","",SUM(F58:H58))</f>
      </c>
      <c r="J58" s="4">
        <f>IF(I58="","",IF(I58&gt;=12,"🟢 Top pick",""))</f>
      </c>
      <c r="K58" s="5"/>
      <c r="L58" s="5"/>
      <c r="M58" s="4">
        <f>IF((COUNTIF(Settings!$D$5:$D$34,C58)+(C58=""))*(COUNTIF(Settings!$E$5:$E$34,D58)+(D58="")),"","⚠ Not in Settings")</f>
      </c>
    </row>
    <row r="59" spans="1:13" x14ac:dyDescent="0.25">
      <c r="A59" s="4">
        <f>IF(B59="","",ROW()-4)</f>
      </c>
      <c r="B59" s="5"/>
      <c r="C59" s="5"/>
      <c r="D59" s="5"/>
      <c r="E59" s="5"/>
      <c r="F59" s="5"/>
      <c r="G59" s="5"/>
      <c r="H59" s="5"/>
      <c r="I59" s="4">
        <f>IF(B59="","",SUM(F59:H59))</f>
      </c>
      <c r="J59" s="4">
        <f>IF(I59="","",IF(I59&gt;=12,"🟢 Top pick",""))</f>
      </c>
      <c r="K59" s="5"/>
      <c r="L59" s="5"/>
      <c r="M59" s="4">
        <f>IF((COUNTIF(Settings!$D$5:$D$34,C59)+(C59=""))*(COUNTIF(Settings!$E$5:$E$34,D59)+(D59="")),"","⚠ Not in Settings")</f>
      </c>
    </row>
    <row r="60" spans="1:13" x14ac:dyDescent="0.25">
      <c r="A60" s="4">
        <f>IF(B60="","",ROW()-4)</f>
      </c>
      <c r="B60" s="5"/>
      <c r="C60" s="5"/>
      <c r="D60" s="5"/>
      <c r="E60" s="5"/>
      <c r="F60" s="5"/>
      <c r="G60" s="5"/>
      <c r="H60" s="5"/>
      <c r="I60" s="4">
        <f>IF(B60="","",SUM(F60:H60))</f>
      </c>
      <c r="J60" s="4">
        <f>IF(I60="","",IF(I60&gt;=12,"🟢 Top pick",""))</f>
      </c>
      <c r="K60" s="5"/>
      <c r="L60" s="5"/>
      <c r="M60" s="4">
        <f>IF((COUNTIF(Settings!$D$5:$D$34,C60)+(C60=""))*(COUNTIF(Settings!$E$5:$E$34,D60)+(D60="")),"","⚠ Not in Settings")</f>
      </c>
    </row>
    <row r="61" spans="1:13" x14ac:dyDescent="0.25">
      <c r="A61" s="4">
        <f>IF(B61="","",ROW()-4)</f>
      </c>
      <c r="B61" s="5"/>
      <c r="C61" s="5"/>
      <c r="D61" s="5"/>
      <c r="E61" s="5"/>
      <c r="F61" s="5"/>
      <c r="G61" s="5"/>
      <c r="H61" s="5"/>
      <c r="I61" s="4">
        <f>IF(B61="","",SUM(F61:H61))</f>
      </c>
      <c r="J61" s="4">
        <f>IF(I61="","",IF(I61&gt;=12,"🟢 Top pick",""))</f>
      </c>
      <c r="K61" s="5"/>
      <c r="L61" s="5"/>
      <c r="M61" s="4">
        <f>IF((COUNTIF(Settings!$D$5:$D$34,C61)+(C61=""))*(COUNTIF(Settings!$E$5:$E$34,D61)+(D61="")),"","⚠ Not in Settings")</f>
      </c>
    </row>
    <row r="62" spans="1:13" x14ac:dyDescent="0.25">
      <c r="A62" s="4">
        <f>IF(B62="","",ROW()-4)</f>
      </c>
      <c r="B62" s="5"/>
      <c r="C62" s="5"/>
      <c r="D62" s="5"/>
      <c r="E62" s="5"/>
      <c r="F62" s="5"/>
      <c r="G62" s="5"/>
      <c r="H62" s="5"/>
      <c r="I62" s="4">
        <f>IF(B62="","",SUM(F62:H62))</f>
      </c>
      <c r="J62" s="4">
        <f>IF(I62="","",IF(I62&gt;=12,"🟢 Top pick",""))</f>
      </c>
      <c r="K62" s="5"/>
      <c r="L62" s="5"/>
      <c r="M62" s="4">
        <f>IF((COUNTIF(Settings!$D$5:$D$34,C62)+(C62=""))*(COUNTIF(Settings!$E$5:$E$34,D62)+(D62="")),"","⚠ Not in Settings")</f>
      </c>
    </row>
    <row r="63" spans="1:13" x14ac:dyDescent="0.25">
      <c r="A63" s="4">
        <f>IF(B63="","",ROW()-4)</f>
      </c>
      <c r="B63" s="5"/>
      <c r="C63" s="5"/>
      <c r="D63" s="5"/>
      <c r="E63" s="5"/>
      <c r="F63" s="5"/>
      <c r="G63" s="5"/>
      <c r="H63" s="5"/>
      <c r="I63" s="4">
        <f>IF(B63="","",SUM(F63:H63))</f>
      </c>
      <c r="J63" s="4">
        <f>IF(I63="","",IF(I63&gt;=12,"🟢 Top pick",""))</f>
      </c>
      <c r="K63" s="5"/>
      <c r="L63" s="5"/>
      <c r="M63" s="4">
        <f>IF((COUNTIF(Settings!$D$5:$D$34,C63)+(C63=""))*(COUNTIF(Settings!$E$5:$E$34,D63)+(D63="")),"","⚠ Not in Settings")</f>
      </c>
    </row>
    <row r="64" spans="1:13" x14ac:dyDescent="0.25">
      <c r="A64" s="4">
        <f>IF(B64="","",ROW()-4)</f>
      </c>
      <c r="B64" s="5"/>
      <c r="C64" s="5"/>
      <c r="D64" s="5"/>
      <c r="E64" s="5"/>
      <c r="F64" s="5"/>
      <c r="G64" s="5"/>
      <c r="H64" s="5"/>
      <c r="I64" s="4">
        <f>IF(B64="","",SUM(F64:H64))</f>
      </c>
      <c r="J64" s="4">
        <f>IF(I64="","",IF(I64&gt;=12,"🟢 Top pick",""))</f>
      </c>
      <c r="K64" s="5"/>
      <c r="L64" s="5"/>
      <c r="M64" s="4">
        <f>IF((COUNTIF(Settings!$D$5:$D$34,C64)+(C64=""))*(COUNTIF(Settings!$E$5:$E$34,D64)+(D64="")),"","⚠ Not in Settings")</f>
      </c>
    </row>
    <row r="65" spans="3:11" x14ac:dyDescent="0.25"/>
    <row r="66" spans="3:11" x14ac:dyDescent="0.25"/>
    <row r="67" spans="3:11" x14ac:dyDescent="0.25"/>
    <row r="68" spans="3:11" x14ac:dyDescent="0.25"/>
    <row r="69" spans="3:11" x14ac:dyDescent="0.25"/>
    <row r="70" spans="3:11" x14ac:dyDescent="0.25"/>
    <row r="71" spans="3:11" x14ac:dyDescent="0.25"/>
    <row r="72" spans="3:11" x14ac:dyDescent="0.25"/>
    <row r="73" spans="3:11" x14ac:dyDescent="0.25"/>
    <row r="74" spans="3:11" x14ac:dyDescent="0.25"/>
    <row r="75" spans="3:11" x14ac:dyDescent="0.25"/>
    <row r="76" spans="3:11" x14ac:dyDescent="0.25"/>
    <row r="77" spans="3:11" x14ac:dyDescent="0.25"/>
    <row r="78" spans="3:11" x14ac:dyDescent="0.25"/>
    <row r="79" spans="3:11" x14ac:dyDescent="0.25"/>
    <row r="80" spans="3:11" x14ac:dyDescent="0.25"/>
    <row r="81" spans="3:11" x14ac:dyDescent="0.25"/>
    <row r="82" spans="3:11" x14ac:dyDescent="0.25"/>
    <row r="83" spans="3:11" x14ac:dyDescent="0.25"/>
    <row r="84" spans="3:11" x14ac:dyDescent="0.25"/>
    <row r="85" spans="3:11" x14ac:dyDescent="0.25"/>
    <row r="86" spans="3:11" x14ac:dyDescent="0.25"/>
    <row r="87" spans="3:11" x14ac:dyDescent="0.25"/>
    <row r="88" spans="3:11" x14ac:dyDescent="0.25"/>
    <row r="89" spans="3:11" x14ac:dyDescent="0.25"/>
    <row r="90" spans="3:11" x14ac:dyDescent="0.25"/>
    <row r="91" spans="3:11" x14ac:dyDescent="0.25"/>
    <row r="92" spans="3:11" x14ac:dyDescent="0.25"/>
    <row r="93" spans="3:11" x14ac:dyDescent="0.25"/>
    <row r="94" spans="3:11" x14ac:dyDescent="0.25"/>
    <row r="95" spans="3:11" x14ac:dyDescent="0.25"/>
    <row r="96" spans="3:11" x14ac:dyDescent="0.25"/>
    <row r="97" spans="3:11" x14ac:dyDescent="0.25"/>
    <row r="98" spans="3:11" x14ac:dyDescent="0.25"/>
    <row r="99" spans="3:11" x14ac:dyDescent="0.25"/>
    <row r="100" spans="3:11" x14ac:dyDescent="0.25"/>
    <row r="101" spans="3:11" x14ac:dyDescent="0.25"/>
    <row r="102" spans="3:11" x14ac:dyDescent="0.25"/>
    <row r="103" spans="3:11" x14ac:dyDescent="0.25"/>
    <row r="104" spans="3:11" x14ac:dyDescent="0.25"/>
    <row r="105" spans="3:11" x14ac:dyDescent="0.25"/>
    <row r="106" spans="3:11" x14ac:dyDescent="0.25"/>
    <row r="107" spans="3:11" x14ac:dyDescent="0.25"/>
    <row r="108" spans="3:11" x14ac:dyDescent="0.25"/>
    <row r="109" spans="3:11" x14ac:dyDescent="0.25"/>
    <row r="110" spans="3:11" x14ac:dyDescent="0.25"/>
    <row r="111" spans="3:11" x14ac:dyDescent="0.25"/>
    <row r="112" spans="3:11" x14ac:dyDescent="0.25"/>
    <row r="113" spans="3:11" x14ac:dyDescent="0.25"/>
    <row r="114" spans="3:11" x14ac:dyDescent="0.25"/>
    <row r="115" spans="3:11" x14ac:dyDescent="0.25"/>
    <row r="116" spans="3:11" x14ac:dyDescent="0.25"/>
    <row r="117" spans="3:11" x14ac:dyDescent="0.25"/>
    <row r="118" spans="3:11" x14ac:dyDescent="0.25"/>
    <row r="119" spans="3:11" x14ac:dyDescent="0.25"/>
    <row r="120" spans="3:11" x14ac:dyDescent="0.25"/>
    <row r="121" spans="3:11" x14ac:dyDescent="0.25"/>
    <row r="122" spans="3:11" x14ac:dyDescent="0.25"/>
    <row r="123" spans="3:11" x14ac:dyDescent="0.25"/>
    <row r="124" spans="3:11" x14ac:dyDescent="0.25"/>
    <row r="125" spans="3:11" x14ac:dyDescent="0.25"/>
    <row r="126" spans="3:11" x14ac:dyDescent="0.25"/>
    <row r="127" spans="3:11" x14ac:dyDescent="0.25"/>
    <row r="128" spans="3:11" x14ac:dyDescent="0.25"/>
    <row r="129" spans="3:11" x14ac:dyDescent="0.25"/>
    <row r="130" spans="3:11" x14ac:dyDescent="0.25"/>
    <row r="131" spans="3:11" x14ac:dyDescent="0.25"/>
    <row r="132" spans="3:11" x14ac:dyDescent="0.25"/>
    <row r="133" spans="3:11" x14ac:dyDescent="0.25"/>
    <row r="134" spans="3:11" x14ac:dyDescent="0.25"/>
    <row r="135" spans="3:11" x14ac:dyDescent="0.25"/>
    <row r="136" spans="3:11" x14ac:dyDescent="0.25"/>
    <row r="137" spans="3:11" x14ac:dyDescent="0.25"/>
    <row r="138" spans="3:11" x14ac:dyDescent="0.25"/>
    <row r="139" spans="3:11" x14ac:dyDescent="0.25"/>
    <row r="140" spans="3:11" x14ac:dyDescent="0.25"/>
    <row r="141" spans="3:11" x14ac:dyDescent="0.25"/>
    <row r="142" spans="3:11" x14ac:dyDescent="0.25"/>
    <row r="143" spans="3:11" x14ac:dyDescent="0.25"/>
    <row r="144" spans="3:11" x14ac:dyDescent="0.25"/>
    <row r="145" spans="3:11" x14ac:dyDescent="0.25"/>
    <row r="146" spans="3:11" x14ac:dyDescent="0.25"/>
    <row r="147" spans="3:11" x14ac:dyDescent="0.25"/>
    <row r="148" spans="3:11" x14ac:dyDescent="0.25"/>
    <row r="149" spans="3:11" x14ac:dyDescent="0.25"/>
    <row r="150" spans="3:11" x14ac:dyDescent="0.25"/>
    <row r="151" spans="3:11" x14ac:dyDescent="0.25"/>
    <row r="152" spans="3:11" x14ac:dyDescent="0.25"/>
    <row r="153" spans="3:11" x14ac:dyDescent="0.25"/>
    <row r="154" spans="3:11" x14ac:dyDescent="0.25"/>
    <row r="155" spans="3:11" x14ac:dyDescent="0.25"/>
    <row r="156" spans="3:11" x14ac:dyDescent="0.25"/>
    <row r="157" spans="3:11" x14ac:dyDescent="0.25"/>
    <row r="158" spans="3:11" x14ac:dyDescent="0.25"/>
    <row r="159" spans="3:11" x14ac:dyDescent="0.25"/>
    <row r="160" spans="3:11" x14ac:dyDescent="0.25"/>
    <row r="161" spans="3:11" x14ac:dyDescent="0.25"/>
    <row r="162" spans="3:11" x14ac:dyDescent="0.25"/>
    <row r="163" spans="3:11" x14ac:dyDescent="0.25"/>
    <row r="164" spans="3:11" x14ac:dyDescent="0.25"/>
    <row r="165" spans="3:11" x14ac:dyDescent="0.25"/>
    <row r="166" spans="3:11" x14ac:dyDescent="0.25"/>
    <row r="167" spans="3:11" x14ac:dyDescent="0.25"/>
    <row r="168" spans="3:11" x14ac:dyDescent="0.25"/>
    <row r="169" spans="3:11" x14ac:dyDescent="0.25"/>
    <row r="170" spans="3:11" x14ac:dyDescent="0.25"/>
    <row r="171" spans="3:11" x14ac:dyDescent="0.25"/>
    <row r="172" spans="3:11" x14ac:dyDescent="0.25"/>
    <row r="173" spans="3:11" x14ac:dyDescent="0.25"/>
    <row r="174" spans="3:11" x14ac:dyDescent="0.25"/>
    <row r="175" spans="3:11" x14ac:dyDescent="0.25"/>
    <row r="176" spans="3:11" x14ac:dyDescent="0.25"/>
    <row r="177" spans="3:11" x14ac:dyDescent="0.25"/>
    <row r="178" spans="3:11" x14ac:dyDescent="0.25"/>
    <row r="179" spans="3:11" x14ac:dyDescent="0.25"/>
    <row r="180" spans="3:11" x14ac:dyDescent="0.25"/>
    <row r="181" spans="3:11" x14ac:dyDescent="0.25"/>
    <row r="182" spans="3:11" x14ac:dyDescent="0.25"/>
    <row r="183" spans="3:11" x14ac:dyDescent="0.25"/>
    <row r="184" spans="3:11" x14ac:dyDescent="0.25"/>
    <row r="185" spans="3:11" x14ac:dyDescent="0.25"/>
    <row r="186" spans="3:11" x14ac:dyDescent="0.25"/>
    <row r="187" spans="3:11" x14ac:dyDescent="0.25"/>
    <row r="188" spans="3:11" x14ac:dyDescent="0.25"/>
    <row r="189" spans="3:11" x14ac:dyDescent="0.25"/>
    <row r="190" spans="3:11" x14ac:dyDescent="0.25"/>
    <row r="191" spans="3:11" x14ac:dyDescent="0.25"/>
    <row r="192" spans="3:11" x14ac:dyDescent="0.25"/>
    <row r="193" spans="3:11" x14ac:dyDescent="0.25"/>
    <row r="194" spans="3:11" x14ac:dyDescent="0.25"/>
    <row r="195" spans="3:11" x14ac:dyDescent="0.25"/>
    <row r="196" spans="3:11" x14ac:dyDescent="0.25"/>
    <row r="197" spans="3:11" x14ac:dyDescent="0.25"/>
    <row r="198" spans="3:11" x14ac:dyDescent="0.25"/>
    <row r="199" spans="3:11" x14ac:dyDescent="0.25"/>
    <row r="200" spans="3:11" x14ac:dyDescent="0.25"/>
    <row r="201" spans="3:11" x14ac:dyDescent="0.25"/>
    <row r="202" spans="3:11" x14ac:dyDescent="0.25"/>
    <row r="203" spans="3:11" x14ac:dyDescent="0.25"/>
    <row r="204" spans="3:11" x14ac:dyDescent="0.25"/>
    <row r="205" spans="3:11" x14ac:dyDescent="0.25"/>
    <row r="206" spans="3:11" x14ac:dyDescent="0.25"/>
    <row r="207" spans="3:11" x14ac:dyDescent="0.25"/>
    <row r="208" spans="3:11" x14ac:dyDescent="0.25"/>
    <row r="209" spans="3:11" x14ac:dyDescent="0.25"/>
    <row r="210" spans="3:11" x14ac:dyDescent="0.25"/>
    <row r="211" spans="3:11" x14ac:dyDescent="0.25"/>
    <row r="212" spans="3:11" x14ac:dyDescent="0.25"/>
    <row r="213" spans="3:11" x14ac:dyDescent="0.25"/>
    <row r="214" spans="3:11" x14ac:dyDescent="0.25"/>
    <row r="215" spans="3:11" x14ac:dyDescent="0.25"/>
    <row r="216" spans="3:11" x14ac:dyDescent="0.25"/>
    <row r="217" spans="3:11" x14ac:dyDescent="0.25"/>
    <row r="218" spans="3:11" x14ac:dyDescent="0.25"/>
    <row r="219" spans="3:11" x14ac:dyDescent="0.25"/>
    <row r="220" spans="3:11" x14ac:dyDescent="0.25"/>
    <row r="221" spans="3:11" x14ac:dyDescent="0.25"/>
    <row r="222" spans="3:11" x14ac:dyDescent="0.25"/>
    <row r="223" spans="3:11" x14ac:dyDescent="0.25"/>
    <row r="224" spans="3:11" x14ac:dyDescent="0.25"/>
    <row r="225" spans="3:11" x14ac:dyDescent="0.25"/>
    <row r="226" spans="3:11" x14ac:dyDescent="0.25"/>
    <row r="227" spans="3:11" x14ac:dyDescent="0.25"/>
    <row r="228" spans="3:11" x14ac:dyDescent="0.25"/>
    <row r="229" spans="3:11" x14ac:dyDescent="0.25"/>
    <row r="230" spans="3:11" x14ac:dyDescent="0.25"/>
    <row r="231" spans="3:11" x14ac:dyDescent="0.25"/>
    <row r="232" spans="3:11" x14ac:dyDescent="0.25"/>
    <row r="233" spans="3:11" x14ac:dyDescent="0.25"/>
    <row r="234" spans="3:11" x14ac:dyDescent="0.25"/>
    <row r="235" spans="3:11" x14ac:dyDescent="0.25"/>
    <row r="236" spans="3:11" x14ac:dyDescent="0.25"/>
    <row r="237" spans="3:11" x14ac:dyDescent="0.25"/>
    <row r="238" spans="3:11" x14ac:dyDescent="0.25"/>
    <row r="239" spans="3:11" x14ac:dyDescent="0.25"/>
    <row r="240" spans="3:11" x14ac:dyDescent="0.25"/>
    <row r="241" spans="3:11" x14ac:dyDescent="0.25"/>
    <row r="242" spans="3:11" x14ac:dyDescent="0.25"/>
    <row r="243" spans="3:11" x14ac:dyDescent="0.25"/>
    <row r="244" spans="3:11" x14ac:dyDescent="0.25"/>
    <row r="245" spans="3:11" x14ac:dyDescent="0.25"/>
    <row r="246" spans="3:11" x14ac:dyDescent="0.25"/>
    <row r="247" spans="3:11" x14ac:dyDescent="0.25"/>
    <row r="248" spans="3:11" x14ac:dyDescent="0.25"/>
    <row r="249" spans="3:11" x14ac:dyDescent="0.25"/>
    <row r="250" spans="3:11" x14ac:dyDescent="0.25"/>
    <row r="251" spans="3:11" x14ac:dyDescent="0.25"/>
    <row r="252" spans="3:11" x14ac:dyDescent="0.25"/>
    <row r="253" spans="3:11" x14ac:dyDescent="0.25"/>
    <row r="254" spans="3:11" x14ac:dyDescent="0.25"/>
    <row r="255" spans="3:11" x14ac:dyDescent="0.25"/>
    <row r="256" spans="3:11" x14ac:dyDescent="0.25"/>
    <row r="257" spans="3:11" x14ac:dyDescent="0.25"/>
    <row r="258" spans="3:11" x14ac:dyDescent="0.25"/>
    <row r="259" spans="3:11" x14ac:dyDescent="0.25"/>
    <row r="260" spans="3:11" x14ac:dyDescent="0.25"/>
    <row r="261" spans="3:11" x14ac:dyDescent="0.25"/>
    <row r="262" spans="3:11" x14ac:dyDescent="0.25"/>
    <row r="263" spans="3:11" x14ac:dyDescent="0.25"/>
    <row r="264" spans="3:11" x14ac:dyDescent="0.25"/>
    <row r="265" spans="3:11" x14ac:dyDescent="0.25"/>
    <row r="266" spans="3:11" x14ac:dyDescent="0.25"/>
    <row r="267" spans="3:11" x14ac:dyDescent="0.25"/>
    <row r="268" spans="3:11" x14ac:dyDescent="0.25"/>
    <row r="269" spans="3:11" x14ac:dyDescent="0.25"/>
    <row r="270" spans="3:11" x14ac:dyDescent="0.25"/>
    <row r="271" spans="3:11" x14ac:dyDescent="0.25"/>
    <row r="272" spans="3:11" x14ac:dyDescent="0.25"/>
    <row r="273" spans="3:11" x14ac:dyDescent="0.25"/>
    <row r="274" spans="3:11" x14ac:dyDescent="0.25"/>
    <row r="275" spans="3:11" x14ac:dyDescent="0.25"/>
    <row r="276" spans="3:11" x14ac:dyDescent="0.25"/>
    <row r="277" spans="3:11" x14ac:dyDescent="0.25"/>
    <row r="278" spans="3:11" x14ac:dyDescent="0.25"/>
    <row r="279" spans="3:11" x14ac:dyDescent="0.25"/>
    <row r="280" spans="3:11" x14ac:dyDescent="0.25"/>
    <row r="281" spans="3:11" x14ac:dyDescent="0.25"/>
    <row r="282" spans="3:11" x14ac:dyDescent="0.25"/>
    <row r="283" spans="3:11" x14ac:dyDescent="0.25"/>
    <row r="284" spans="3:11" x14ac:dyDescent="0.25"/>
    <row r="285" spans="3:11" x14ac:dyDescent="0.25"/>
    <row r="286" spans="3:11" x14ac:dyDescent="0.25"/>
    <row r="287" spans="3:11" x14ac:dyDescent="0.25"/>
    <row r="288" spans="3:11" x14ac:dyDescent="0.25"/>
    <row r="289" spans="3:11" x14ac:dyDescent="0.25"/>
    <row r="290" spans="3:11" x14ac:dyDescent="0.25"/>
    <row r="291" spans="3:11" x14ac:dyDescent="0.25"/>
    <row r="292" spans="3:11" x14ac:dyDescent="0.25"/>
    <row r="293" spans="3:11" x14ac:dyDescent="0.25"/>
    <row r="294" spans="3:11" x14ac:dyDescent="0.25"/>
    <row r="295" spans="3:11" x14ac:dyDescent="0.25"/>
    <row r="296" spans="3:11" x14ac:dyDescent="0.25"/>
    <row r="297" spans="3:11" x14ac:dyDescent="0.25"/>
    <row r="298" spans="3:11" x14ac:dyDescent="0.25"/>
    <row r="299" spans="3:11" x14ac:dyDescent="0.25"/>
    <row r="300" spans="3:11" x14ac:dyDescent="0.25"/>
    <row r="301" spans="3:11" x14ac:dyDescent="0.25"/>
    <row r="302" spans="3:11" x14ac:dyDescent="0.25"/>
    <row r="303" spans="3:11" x14ac:dyDescent="0.25"/>
    <row r="304" spans="3:11" x14ac:dyDescent="0.25"/>
    <row r="305" spans="3:11" x14ac:dyDescent="0.25"/>
    <row r="306" spans="3:11" x14ac:dyDescent="0.25"/>
    <row r="307" spans="3:11" x14ac:dyDescent="0.25"/>
    <row r="308" spans="3:11" x14ac:dyDescent="0.25"/>
    <row r="309" spans="3:11" x14ac:dyDescent="0.25"/>
    <row r="310" spans="3:11" x14ac:dyDescent="0.25"/>
    <row r="311" spans="3:11" x14ac:dyDescent="0.25"/>
    <row r="312" spans="3:11" x14ac:dyDescent="0.25"/>
    <row r="313" spans="3:11" x14ac:dyDescent="0.25"/>
    <row r="314" spans="3:11" x14ac:dyDescent="0.25"/>
    <row r="315" spans="3:11" x14ac:dyDescent="0.25"/>
    <row r="316" spans="3:11" x14ac:dyDescent="0.25"/>
    <row r="317" spans="3:11" x14ac:dyDescent="0.25"/>
    <row r="318" spans="3:11" x14ac:dyDescent="0.25"/>
    <row r="319" spans="3:11" x14ac:dyDescent="0.25"/>
    <row r="320" spans="3:11" x14ac:dyDescent="0.25"/>
    <row r="321" spans="3:11" x14ac:dyDescent="0.25"/>
    <row r="322" spans="3:11" x14ac:dyDescent="0.25"/>
    <row r="323" spans="3:11" x14ac:dyDescent="0.25"/>
    <row r="324" spans="3:11" x14ac:dyDescent="0.25"/>
    <row r="325" spans="3:11" x14ac:dyDescent="0.25"/>
    <row r="326" spans="3:11" x14ac:dyDescent="0.25"/>
    <row r="327" spans="3:11" x14ac:dyDescent="0.25"/>
    <row r="328" spans="3:11" x14ac:dyDescent="0.25"/>
    <row r="329" spans="3:11" x14ac:dyDescent="0.25"/>
    <row r="330" spans="3:11" x14ac:dyDescent="0.25"/>
    <row r="331" spans="3:11" x14ac:dyDescent="0.25"/>
    <row r="332" spans="3:11" x14ac:dyDescent="0.25"/>
    <row r="333" spans="3:11" x14ac:dyDescent="0.25"/>
    <row r="334" spans="3:11" x14ac:dyDescent="0.25"/>
    <row r="335" spans="3:11" x14ac:dyDescent="0.25"/>
    <row r="336" spans="3:11" x14ac:dyDescent="0.25"/>
    <row r="337" spans="3:11" x14ac:dyDescent="0.25"/>
    <row r="338" spans="3:11" x14ac:dyDescent="0.25"/>
    <row r="339" spans="3:11" x14ac:dyDescent="0.25"/>
    <row r="340" spans="3:11" x14ac:dyDescent="0.25"/>
    <row r="341" spans="3:11" x14ac:dyDescent="0.25"/>
    <row r="342" spans="3:11" x14ac:dyDescent="0.25"/>
    <row r="343" spans="3:11" x14ac:dyDescent="0.25"/>
    <row r="344" spans="3:11" x14ac:dyDescent="0.25"/>
    <row r="345" spans="3:11" x14ac:dyDescent="0.25"/>
    <row r="346" spans="3:11" x14ac:dyDescent="0.25"/>
    <row r="347" spans="3:11" x14ac:dyDescent="0.25"/>
    <row r="348" spans="3:11" x14ac:dyDescent="0.25"/>
    <row r="349" spans="3:11" x14ac:dyDescent="0.25"/>
    <row r="350" spans="3:11" x14ac:dyDescent="0.25"/>
    <row r="351" spans="3:11" x14ac:dyDescent="0.25"/>
    <row r="352" spans="3:11" x14ac:dyDescent="0.25"/>
    <row r="353" spans="3:11" x14ac:dyDescent="0.25"/>
    <row r="354" spans="3:11" x14ac:dyDescent="0.25"/>
    <row r="355" spans="3:11" x14ac:dyDescent="0.25"/>
    <row r="356" spans="3:11" x14ac:dyDescent="0.25"/>
    <row r="357" spans="3:11" x14ac:dyDescent="0.25"/>
    <row r="358" spans="3:11" x14ac:dyDescent="0.25"/>
    <row r="359" spans="3:11" x14ac:dyDescent="0.25"/>
    <row r="360" spans="3:11" x14ac:dyDescent="0.25"/>
    <row r="361" spans="3:11" x14ac:dyDescent="0.25"/>
    <row r="362" spans="3:11" x14ac:dyDescent="0.25"/>
    <row r="363" spans="3:11" x14ac:dyDescent="0.25"/>
    <row r="364" spans="3:11" x14ac:dyDescent="0.25"/>
    <row r="365" spans="3:11" x14ac:dyDescent="0.25"/>
    <row r="366" spans="3:11" x14ac:dyDescent="0.25"/>
    <row r="367" spans="3:11" x14ac:dyDescent="0.25"/>
    <row r="368" spans="3:11" x14ac:dyDescent="0.25"/>
    <row r="369" spans="3:11" x14ac:dyDescent="0.25"/>
    <row r="370" spans="3:11" x14ac:dyDescent="0.25"/>
    <row r="371" spans="3:11" x14ac:dyDescent="0.25"/>
    <row r="372" spans="3:11" x14ac:dyDescent="0.25"/>
    <row r="373" spans="3:11" x14ac:dyDescent="0.25"/>
    <row r="374" spans="3:11" x14ac:dyDescent="0.25"/>
    <row r="375" spans="3:11" x14ac:dyDescent="0.25"/>
    <row r="376" spans="3:11" x14ac:dyDescent="0.25"/>
    <row r="377" spans="3:11" x14ac:dyDescent="0.25"/>
    <row r="378" spans="3:11" x14ac:dyDescent="0.25"/>
    <row r="379" spans="3:11" x14ac:dyDescent="0.25"/>
    <row r="380" spans="3:11" x14ac:dyDescent="0.25"/>
    <row r="381" spans="3:11" x14ac:dyDescent="0.25"/>
    <row r="382" spans="3:11" x14ac:dyDescent="0.25"/>
    <row r="383" spans="3:11" x14ac:dyDescent="0.25"/>
    <row r="384" spans="3:11" x14ac:dyDescent="0.25"/>
    <row r="385" spans="3:11" x14ac:dyDescent="0.25"/>
    <row r="386" spans="3:11" x14ac:dyDescent="0.25"/>
    <row r="387" spans="3:11" x14ac:dyDescent="0.25"/>
    <row r="388" spans="3:11" x14ac:dyDescent="0.25"/>
    <row r="389" spans="3:11" x14ac:dyDescent="0.25"/>
    <row r="390" spans="3:11" x14ac:dyDescent="0.25"/>
    <row r="391" spans="3:11" x14ac:dyDescent="0.25"/>
    <row r="392" spans="3:11" x14ac:dyDescent="0.25"/>
    <row r="393" spans="3:11" x14ac:dyDescent="0.25"/>
    <row r="394" spans="3:11" x14ac:dyDescent="0.25"/>
    <row r="395" spans="3:11" x14ac:dyDescent="0.25"/>
    <row r="396" spans="3:11" x14ac:dyDescent="0.25"/>
    <row r="397" spans="3:11" x14ac:dyDescent="0.25"/>
    <row r="398" spans="3:11" x14ac:dyDescent="0.25"/>
    <row r="399" spans="3:11" x14ac:dyDescent="0.25"/>
    <row r="400" spans="3:11" x14ac:dyDescent="0.25"/>
    <row r="401" spans="3:11" x14ac:dyDescent="0.25"/>
    <row r="402" spans="3:11" x14ac:dyDescent="0.25"/>
    <row r="403" spans="3:11" x14ac:dyDescent="0.25"/>
    <row r="404" spans="3:11" x14ac:dyDescent="0.25"/>
    <row r="405" spans="3:11" x14ac:dyDescent="0.25"/>
    <row r="406" spans="3:11" x14ac:dyDescent="0.25"/>
    <row r="407" spans="3:11" x14ac:dyDescent="0.25"/>
    <row r="408" spans="3:11" x14ac:dyDescent="0.25"/>
    <row r="409" spans="3:11" x14ac:dyDescent="0.25"/>
    <row r="410" spans="3:11" x14ac:dyDescent="0.25"/>
    <row r="411" spans="3:11" x14ac:dyDescent="0.25"/>
    <row r="412" spans="3:11" x14ac:dyDescent="0.25"/>
    <row r="413" spans="3:11" x14ac:dyDescent="0.25"/>
    <row r="414" spans="3:11" x14ac:dyDescent="0.25"/>
    <row r="415" spans="3:11" x14ac:dyDescent="0.25"/>
    <row r="416" spans="3:11" x14ac:dyDescent="0.25"/>
    <row r="417" spans="3:11" x14ac:dyDescent="0.25"/>
    <row r="418" spans="3:11" x14ac:dyDescent="0.25"/>
    <row r="419" spans="3:11" x14ac:dyDescent="0.25"/>
    <row r="420" spans="3:11" x14ac:dyDescent="0.25"/>
    <row r="421" spans="3:11" x14ac:dyDescent="0.25"/>
    <row r="422" spans="3:11" x14ac:dyDescent="0.25"/>
    <row r="423" spans="3:11" x14ac:dyDescent="0.25"/>
    <row r="424" spans="3:11" x14ac:dyDescent="0.25"/>
    <row r="425" spans="3:11" x14ac:dyDescent="0.25"/>
    <row r="426" spans="3:11" x14ac:dyDescent="0.25"/>
    <row r="427" spans="3:11" x14ac:dyDescent="0.25"/>
    <row r="428" spans="3:11" x14ac:dyDescent="0.25"/>
    <row r="429" spans="3:11" x14ac:dyDescent="0.25"/>
    <row r="430" spans="3:11" x14ac:dyDescent="0.25"/>
    <row r="431" spans="3:11" x14ac:dyDescent="0.25"/>
    <row r="432" spans="3:11" x14ac:dyDescent="0.25"/>
    <row r="433" spans="3:11" x14ac:dyDescent="0.25"/>
    <row r="434" spans="3:11" x14ac:dyDescent="0.25"/>
    <row r="435" spans="3:11" x14ac:dyDescent="0.25"/>
    <row r="436" spans="3:11" x14ac:dyDescent="0.25"/>
    <row r="437" spans="3:11" x14ac:dyDescent="0.25"/>
    <row r="438" spans="3:11" x14ac:dyDescent="0.25"/>
    <row r="439" spans="3:11" x14ac:dyDescent="0.25"/>
    <row r="440" spans="3:11" x14ac:dyDescent="0.25"/>
    <row r="441" spans="3:11" x14ac:dyDescent="0.25"/>
    <row r="442" spans="3:11" x14ac:dyDescent="0.25"/>
    <row r="443" spans="3:11" x14ac:dyDescent="0.25"/>
    <row r="444" spans="3:11" x14ac:dyDescent="0.25"/>
    <row r="445" spans="3:11" x14ac:dyDescent="0.25"/>
    <row r="446" spans="3:11" x14ac:dyDescent="0.25"/>
    <row r="447" spans="3:11" x14ac:dyDescent="0.25"/>
    <row r="448" spans="3:11" x14ac:dyDescent="0.25"/>
    <row r="449" spans="3:11" x14ac:dyDescent="0.25"/>
    <row r="450" spans="3:11" x14ac:dyDescent="0.25"/>
    <row r="451" spans="3:11" x14ac:dyDescent="0.25"/>
    <row r="452" spans="3:11" x14ac:dyDescent="0.25"/>
    <row r="453" spans="3:11" x14ac:dyDescent="0.25"/>
    <row r="454" spans="3:11" x14ac:dyDescent="0.25"/>
    <row r="455" spans="3:11" x14ac:dyDescent="0.25"/>
    <row r="456" spans="3:11" x14ac:dyDescent="0.25"/>
    <row r="457" spans="3:11" x14ac:dyDescent="0.25"/>
    <row r="458" spans="3:11" x14ac:dyDescent="0.25"/>
    <row r="459" spans="3:11" x14ac:dyDescent="0.25"/>
    <row r="460" spans="3:11" x14ac:dyDescent="0.25"/>
    <row r="461" spans="3:11" x14ac:dyDescent="0.25"/>
    <row r="462" spans="3:11" x14ac:dyDescent="0.25"/>
    <row r="463" spans="3:11" x14ac:dyDescent="0.25"/>
    <row r="464" spans="3:11" x14ac:dyDescent="0.25"/>
    <row r="465" spans="3:11" x14ac:dyDescent="0.25"/>
    <row r="466" spans="3:11" x14ac:dyDescent="0.25"/>
    <row r="467" spans="3:11" x14ac:dyDescent="0.25"/>
    <row r="468" spans="3:11" x14ac:dyDescent="0.25"/>
    <row r="469" spans="3:11" x14ac:dyDescent="0.25"/>
    <row r="470" spans="3:11" x14ac:dyDescent="0.25"/>
    <row r="471" spans="3:11" x14ac:dyDescent="0.25"/>
    <row r="472" spans="3:11" x14ac:dyDescent="0.25"/>
    <row r="473" spans="3:11" x14ac:dyDescent="0.25"/>
    <row r="474" spans="3:11" x14ac:dyDescent="0.25"/>
    <row r="475" spans="3:11" x14ac:dyDescent="0.25"/>
    <row r="476" spans="3:11" x14ac:dyDescent="0.25"/>
    <row r="477" spans="3:11" x14ac:dyDescent="0.25"/>
    <row r="478" spans="3:11" x14ac:dyDescent="0.25"/>
    <row r="479" spans="3:11" x14ac:dyDescent="0.25"/>
    <row r="480" spans="3:11" x14ac:dyDescent="0.25"/>
    <row r="481" spans="3:11" x14ac:dyDescent="0.25"/>
    <row r="482" spans="3:11" x14ac:dyDescent="0.25"/>
    <row r="483" spans="3:11" x14ac:dyDescent="0.25"/>
    <row r="484" spans="3:11" x14ac:dyDescent="0.25"/>
    <row r="485" spans="3:11" x14ac:dyDescent="0.25"/>
    <row r="486" spans="3:11" x14ac:dyDescent="0.25"/>
    <row r="487" spans="3:11" x14ac:dyDescent="0.25"/>
    <row r="488" spans="3:11" x14ac:dyDescent="0.25"/>
    <row r="489" spans="3:11" x14ac:dyDescent="0.25"/>
    <row r="490" spans="3:11" x14ac:dyDescent="0.25"/>
    <row r="491" spans="3:11" x14ac:dyDescent="0.25"/>
    <row r="492" spans="3:11" x14ac:dyDescent="0.25"/>
    <row r="493" spans="3:11" x14ac:dyDescent="0.25"/>
    <row r="494" spans="3:11" x14ac:dyDescent="0.25"/>
    <row r="495" spans="3:11" x14ac:dyDescent="0.25"/>
    <row r="496" spans="3:11" x14ac:dyDescent="0.25"/>
    <row r="497" spans="3:11" x14ac:dyDescent="0.25"/>
    <row r="498" spans="3:11" x14ac:dyDescent="0.25"/>
    <row r="499" spans="3:11" x14ac:dyDescent="0.25"/>
    <row r="500" spans="3:11" x14ac:dyDescent="0.25"/>
    <row r="501" spans="3:11" x14ac:dyDescent="0.25"/>
    <row r="502" spans="3:11" x14ac:dyDescent="0.25"/>
    <row r="503" spans="3:11" x14ac:dyDescent="0.25"/>
    <row r="504" spans="3:11" x14ac:dyDescent="0.25"/>
    <row r="505" spans="3:11" x14ac:dyDescent="0.25"/>
    <row r="506" spans="3:11" x14ac:dyDescent="0.25"/>
    <row r="507" spans="3:11" x14ac:dyDescent="0.25"/>
    <row r="508" spans="3:11" x14ac:dyDescent="0.25"/>
    <row r="509" spans="3:11" x14ac:dyDescent="0.25"/>
    <row r="510" spans="3:11" x14ac:dyDescent="0.25"/>
    <row r="511" spans="3:11" x14ac:dyDescent="0.25"/>
    <row r="512" spans="3:11" x14ac:dyDescent="0.25"/>
    <row r="513" spans="3:11" x14ac:dyDescent="0.25"/>
    <row r="514" spans="3:11" x14ac:dyDescent="0.25"/>
    <row r="515" spans="3:11" x14ac:dyDescent="0.25"/>
    <row r="516" spans="3:11" x14ac:dyDescent="0.25"/>
    <row r="517" spans="3:11" x14ac:dyDescent="0.25"/>
    <row r="518" spans="3:11" x14ac:dyDescent="0.25"/>
    <row r="519" spans="3:11" x14ac:dyDescent="0.25"/>
    <row r="520" spans="3:11" x14ac:dyDescent="0.25"/>
    <row r="521" spans="3:11" x14ac:dyDescent="0.25"/>
    <row r="522" spans="3:11" x14ac:dyDescent="0.25"/>
    <row r="523" spans="3:11" x14ac:dyDescent="0.25"/>
    <row r="524" spans="3:11" x14ac:dyDescent="0.25"/>
    <row r="525" spans="3:11" x14ac:dyDescent="0.25"/>
    <row r="526" spans="3:11" x14ac:dyDescent="0.25"/>
    <row r="527" spans="3:11" x14ac:dyDescent="0.25"/>
    <row r="528" spans="3:11" x14ac:dyDescent="0.25"/>
    <row r="529" spans="3:11" x14ac:dyDescent="0.25"/>
    <row r="530" spans="3:11" x14ac:dyDescent="0.25"/>
    <row r="531" spans="3:11" x14ac:dyDescent="0.25"/>
    <row r="532" spans="3:11" x14ac:dyDescent="0.25"/>
    <row r="533" spans="3:11" x14ac:dyDescent="0.25"/>
    <row r="534" spans="3:11" x14ac:dyDescent="0.25"/>
    <row r="535" spans="3:11" x14ac:dyDescent="0.25"/>
    <row r="536" spans="3:11" x14ac:dyDescent="0.25"/>
    <row r="537" spans="3:11" x14ac:dyDescent="0.25"/>
    <row r="538" spans="3:11" x14ac:dyDescent="0.25"/>
    <row r="539" spans="3:11" x14ac:dyDescent="0.25"/>
    <row r="540" spans="3:11" x14ac:dyDescent="0.25"/>
    <row r="541" spans="3:11" x14ac:dyDescent="0.25"/>
    <row r="542" spans="3:11" x14ac:dyDescent="0.25"/>
    <row r="543" spans="3:11" x14ac:dyDescent="0.25"/>
    <row r="544" spans="3:11" x14ac:dyDescent="0.25"/>
    <row r="545" spans="3:11" x14ac:dyDescent="0.25"/>
    <row r="546" spans="3:11" x14ac:dyDescent="0.25"/>
    <row r="547" spans="3:11" x14ac:dyDescent="0.25"/>
    <row r="548" spans="3:11" x14ac:dyDescent="0.25"/>
    <row r="549" spans="3:11" x14ac:dyDescent="0.25"/>
    <row r="550" spans="3:11" x14ac:dyDescent="0.25"/>
    <row r="551" spans="3:11" x14ac:dyDescent="0.25"/>
    <row r="552" spans="3:11" x14ac:dyDescent="0.25"/>
    <row r="553" spans="3:11" x14ac:dyDescent="0.25"/>
    <row r="554" spans="3:11" x14ac:dyDescent="0.25"/>
    <row r="555" spans="3:11" x14ac:dyDescent="0.25"/>
    <row r="556" spans="3:11" x14ac:dyDescent="0.25"/>
    <row r="557" spans="3:11" x14ac:dyDescent="0.25"/>
    <row r="558" spans="3:11" x14ac:dyDescent="0.25"/>
    <row r="559" spans="3:11" x14ac:dyDescent="0.25"/>
    <row r="560" spans="3:11" x14ac:dyDescent="0.25"/>
    <row r="561" spans="3:11" x14ac:dyDescent="0.25"/>
    <row r="562" spans="3:11" x14ac:dyDescent="0.25"/>
    <row r="563" spans="3:11" x14ac:dyDescent="0.25"/>
    <row r="564" spans="3:11" x14ac:dyDescent="0.25"/>
    <row r="565" spans="3:11" x14ac:dyDescent="0.25"/>
    <row r="566" spans="3:11" x14ac:dyDescent="0.25"/>
    <row r="567" spans="3:11" x14ac:dyDescent="0.25"/>
    <row r="568" spans="3:11" x14ac:dyDescent="0.25"/>
    <row r="569" spans="3:11" x14ac:dyDescent="0.25"/>
    <row r="570" spans="3:11" x14ac:dyDescent="0.25"/>
    <row r="571" spans="3:11" x14ac:dyDescent="0.25"/>
    <row r="572" spans="3:11" x14ac:dyDescent="0.25"/>
    <row r="573" spans="3:11" x14ac:dyDescent="0.25"/>
    <row r="574" spans="3:11" x14ac:dyDescent="0.25"/>
    <row r="575" spans="3:11" x14ac:dyDescent="0.25"/>
    <row r="576" spans="3:11" x14ac:dyDescent="0.25"/>
    <row r="577" spans="3:11" x14ac:dyDescent="0.25"/>
    <row r="578" spans="3:11" x14ac:dyDescent="0.25"/>
    <row r="579" spans="3:11" x14ac:dyDescent="0.25"/>
    <row r="580" spans="3:11" x14ac:dyDescent="0.25"/>
    <row r="581" spans="3:11" x14ac:dyDescent="0.25"/>
    <row r="582" spans="3:11" x14ac:dyDescent="0.25"/>
    <row r="583" spans="3:11" x14ac:dyDescent="0.25"/>
    <row r="584" spans="3:11" x14ac:dyDescent="0.25"/>
    <row r="585" spans="3:11" x14ac:dyDescent="0.25"/>
    <row r="586" spans="3:11" x14ac:dyDescent="0.25"/>
    <row r="587" spans="3:11" x14ac:dyDescent="0.25"/>
    <row r="588" spans="3:11" x14ac:dyDescent="0.25"/>
    <row r="589" spans="3:11" x14ac:dyDescent="0.25"/>
    <row r="590" spans="3:11" x14ac:dyDescent="0.25"/>
    <row r="591" spans="3:11" x14ac:dyDescent="0.25"/>
    <row r="592" spans="3:11" x14ac:dyDescent="0.25"/>
    <row r="593" spans="3:11" x14ac:dyDescent="0.25"/>
    <row r="594" spans="3:11" x14ac:dyDescent="0.25"/>
    <row r="595" spans="3:11" x14ac:dyDescent="0.25"/>
    <row r="596" spans="3:11" x14ac:dyDescent="0.25"/>
    <row r="597" spans="3:11" x14ac:dyDescent="0.25"/>
    <row r="598" spans="3:11" x14ac:dyDescent="0.25"/>
    <row r="599" spans="3:11" x14ac:dyDescent="0.25"/>
    <row r="600" spans="3:11" x14ac:dyDescent="0.25"/>
    <row r="601" spans="3:11" x14ac:dyDescent="0.25"/>
    <row r="602" spans="3:11" x14ac:dyDescent="0.25"/>
    <row r="603" spans="3:11" x14ac:dyDescent="0.25"/>
    <row r="604" spans="3:11" x14ac:dyDescent="0.25"/>
    <row r="605" spans="3:11" x14ac:dyDescent="0.25"/>
    <row r="606" spans="3:11" x14ac:dyDescent="0.25"/>
    <row r="607" spans="3:11" x14ac:dyDescent="0.25"/>
    <row r="608" spans="3:11" x14ac:dyDescent="0.25"/>
    <row r="609" spans="3:11" x14ac:dyDescent="0.25"/>
    <row r="610" spans="3:11" x14ac:dyDescent="0.25"/>
    <row r="611" spans="3:11" x14ac:dyDescent="0.25"/>
    <row r="612" spans="3:11" x14ac:dyDescent="0.25"/>
    <row r="613" spans="3:11" x14ac:dyDescent="0.25"/>
    <row r="614" spans="3:11" x14ac:dyDescent="0.25"/>
    <row r="615" spans="3:11" x14ac:dyDescent="0.25"/>
    <row r="616" spans="3:11" x14ac:dyDescent="0.25"/>
    <row r="617" spans="3:11" x14ac:dyDescent="0.25"/>
    <row r="618" spans="3:11" x14ac:dyDescent="0.25"/>
    <row r="619" spans="3:11" x14ac:dyDescent="0.25"/>
    <row r="620" spans="3:11" x14ac:dyDescent="0.25"/>
    <row r="621" spans="3:11" x14ac:dyDescent="0.25"/>
    <row r="622" spans="3:11" x14ac:dyDescent="0.25"/>
    <row r="623" spans="3:11" x14ac:dyDescent="0.25"/>
    <row r="624" spans="3:11" x14ac:dyDescent="0.25"/>
    <row r="625" spans="3:11" x14ac:dyDescent="0.25"/>
    <row r="626" spans="3:11" x14ac:dyDescent="0.25"/>
    <row r="627" spans="3:11" x14ac:dyDescent="0.25"/>
    <row r="628" spans="3:11" x14ac:dyDescent="0.25"/>
    <row r="629" spans="3:11" x14ac:dyDescent="0.25"/>
    <row r="630" spans="3:11" x14ac:dyDescent="0.25"/>
    <row r="631" spans="3:11" x14ac:dyDescent="0.25"/>
    <row r="632" spans="3:11" x14ac:dyDescent="0.25"/>
    <row r="633" spans="3:11" x14ac:dyDescent="0.25"/>
    <row r="634" spans="3:11" x14ac:dyDescent="0.25"/>
    <row r="635" spans="3:11" x14ac:dyDescent="0.25"/>
    <row r="636" spans="3:11" x14ac:dyDescent="0.25"/>
    <row r="637" spans="3:11" x14ac:dyDescent="0.25"/>
    <row r="638" spans="3:11" x14ac:dyDescent="0.25"/>
    <row r="639" spans="3:11" x14ac:dyDescent="0.25"/>
    <row r="640" spans="3:11" x14ac:dyDescent="0.25"/>
    <row r="641" spans="3:11" x14ac:dyDescent="0.25"/>
    <row r="642" spans="3:11" x14ac:dyDescent="0.25"/>
    <row r="643" spans="3:11" x14ac:dyDescent="0.25"/>
    <row r="644" spans="3:11" x14ac:dyDescent="0.25"/>
    <row r="645" spans="3:11" x14ac:dyDescent="0.25"/>
    <row r="646" spans="3:11" x14ac:dyDescent="0.25"/>
    <row r="647" spans="3:11" x14ac:dyDescent="0.25"/>
    <row r="648" spans="3:11" x14ac:dyDescent="0.25"/>
    <row r="649" spans="3:11" x14ac:dyDescent="0.25"/>
    <row r="650" spans="3:11" x14ac:dyDescent="0.25"/>
    <row r="651" spans="3:11" x14ac:dyDescent="0.25"/>
    <row r="652" spans="3:11" x14ac:dyDescent="0.25"/>
    <row r="653" spans="3:11" x14ac:dyDescent="0.25"/>
    <row r="654" spans="3:11" x14ac:dyDescent="0.25"/>
    <row r="655" spans="3:11" x14ac:dyDescent="0.25"/>
    <row r="656" spans="3:11" x14ac:dyDescent="0.25"/>
    <row r="657" spans="3:11" x14ac:dyDescent="0.25"/>
    <row r="658" spans="3:11" x14ac:dyDescent="0.25"/>
    <row r="659" spans="3:11" x14ac:dyDescent="0.25"/>
    <row r="660" spans="3:11" x14ac:dyDescent="0.25"/>
    <row r="661" spans="3:11" x14ac:dyDescent="0.25"/>
    <row r="662" spans="3:11" x14ac:dyDescent="0.25"/>
    <row r="663" spans="3:11" x14ac:dyDescent="0.25"/>
    <row r="664" spans="3:11" x14ac:dyDescent="0.25"/>
    <row r="665" spans="3:11" x14ac:dyDescent="0.25"/>
    <row r="666" spans="3:11" x14ac:dyDescent="0.25"/>
    <row r="667" spans="3:11" x14ac:dyDescent="0.25"/>
    <row r="668" spans="3:11" x14ac:dyDescent="0.25"/>
    <row r="669" spans="3:11" x14ac:dyDescent="0.25"/>
    <row r="670" spans="3:11" x14ac:dyDescent="0.25"/>
    <row r="671" spans="3:11" x14ac:dyDescent="0.25"/>
    <row r="672" spans="3:11" x14ac:dyDescent="0.25"/>
    <row r="673" spans="3:11" x14ac:dyDescent="0.25"/>
    <row r="674" spans="3:11" x14ac:dyDescent="0.25"/>
    <row r="675" spans="3:11" x14ac:dyDescent="0.25"/>
    <row r="676" spans="3:11" x14ac:dyDescent="0.25"/>
    <row r="677" spans="3:11" x14ac:dyDescent="0.25"/>
    <row r="678" spans="3:11" x14ac:dyDescent="0.25"/>
    <row r="679" spans="3:11" x14ac:dyDescent="0.25"/>
    <row r="680" spans="3:11" x14ac:dyDescent="0.25"/>
    <row r="681" spans="3:11" x14ac:dyDescent="0.25"/>
    <row r="682" spans="3:11" x14ac:dyDescent="0.25"/>
    <row r="683" spans="3:11" x14ac:dyDescent="0.25"/>
    <row r="684" spans="3:11" x14ac:dyDescent="0.25"/>
    <row r="685" spans="3:11" x14ac:dyDescent="0.25"/>
    <row r="686" spans="3:11" x14ac:dyDescent="0.25"/>
    <row r="687" spans="3:11" x14ac:dyDescent="0.25"/>
    <row r="688" spans="3:11" x14ac:dyDescent="0.25"/>
    <row r="689" spans="3:11" x14ac:dyDescent="0.25"/>
    <row r="690" spans="3:11" x14ac:dyDescent="0.25"/>
    <row r="691" spans="3:11" x14ac:dyDescent="0.25"/>
    <row r="692" spans="3:11" x14ac:dyDescent="0.25"/>
    <row r="693" spans="3:11" x14ac:dyDescent="0.25"/>
    <row r="694" spans="3:11" x14ac:dyDescent="0.25"/>
    <row r="695" spans="3:11" x14ac:dyDescent="0.25"/>
    <row r="696" spans="3:11" x14ac:dyDescent="0.25"/>
    <row r="697" spans="3:11" x14ac:dyDescent="0.25"/>
    <row r="698" spans="3:11" x14ac:dyDescent="0.25"/>
    <row r="699" spans="3:11" x14ac:dyDescent="0.25"/>
    <row r="700" spans="3:11" x14ac:dyDescent="0.25"/>
    <row r="701" spans="3:11" x14ac:dyDescent="0.25"/>
    <row r="702" spans="3:11" x14ac:dyDescent="0.25"/>
    <row r="703" spans="3:11" x14ac:dyDescent="0.25"/>
    <row r="704" spans="3:11" x14ac:dyDescent="0.25"/>
    <row r="705" spans="3:11" x14ac:dyDescent="0.25"/>
    <row r="706" spans="3:11" x14ac:dyDescent="0.25"/>
    <row r="707" spans="3:11" x14ac:dyDescent="0.25"/>
    <row r="708" spans="3:11" x14ac:dyDescent="0.25"/>
    <row r="709" spans="3:11" x14ac:dyDescent="0.25"/>
    <row r="710" spans="3:11" x14ac:dyDescent="0.25"/>
    <row r="711" spans="3:11" x14ac:dyDescent="0.25"/>
    <row r="712" spans="3:11" x14ac:dyDescent="0.25"/>
    <row r="713" spans="3:11" x14ac:dyDescent="0.25"/>
    <row r="714" spans="3:11" x14ac:dyDescent="0.25"/>
    <row r="715" spans="3:11" x14ac:dyDescent="0.25"/>
    <row r="716" spans="3:11" x14ac:dyDescent="0.25"/>
    <row r="717" spans="3:11" x14ac:dyDescent="0.25"/>
    <row r="718" spans="3:11" x14ac:dyDescent="0.25"/>
    <row r="719" spans="3:11" x14ac:dyDescent="0.25"/>
    <row r="720" spans="3:11" x14ac:dyDescent="0.25"/>
    <row r="721" spans="3:11" x14ac:dyDescent="0.25"/>
    <row r="722" spans="3:11" x14ac:dyDescent="0.25"/>
    <row r="723" spans="3:11" x14ac:dyDescent="0.25"/>
    <row r="724" spans="3:11" x14ac:dyDescent="0.25"/>
    <row r="725" spans="3:11" x14ac:dyDescent="0.25"/>
    <row r="726" spans="3:11" x14ac:dyDescent="0.25"/>
    <row r="727" spans="3:11" x14ac:dyDescent="0.25"/>
    <row r="728" spans="3:11" x14ac:dyDescent="0.25"/>
    <row r="729" spans="3:11" x14ac:dyDescent="0.25"/>
    <row r="730" spans="3:11" x14ac:dyDescent="0.25"/>
    <row r="731" spans="3:11" x14ac:dyDescent="0.25"/>
    <row r="732" spans="3:11" x14ac:dyDescent="0.25"/>
    <row r="733" spans="3:11" x14ac:dyDescent="0.25"/>
    <row r="734" spans="3:11" x14ac:dyDescent="0.25"/>
    <row r="735" spans="3:11" x14ac:dyDescent="0.25"/>
    <row r="736" spans="3:11" x14ac:dyDescent="0.25"/>
    <row r="737" spans="3:11" x14ac:dyDescent="0.25"/>
    <row r="738" spans="3:11" x14ac:dyDescent="0.25"/>
    <row r="739" spans="3:11" x14ac:dyDescent="0.25"/>
    <row r="740" spans="3:11" x14ac:dyDescent="0.25"/>
    <row r="741" spans="3:11" x14ac:dyDescent="0.25"/>
    <row r="742" spans="3:11" x14ac:dyDescent="0.25"/>
    <row r="743" spans="3:11" x14ac:dyDescent="0.25"/>
    <row r="744" spans="3:11" x14ac:dyDescent="0.25"/>
    <row r="745" spans="3:11" x14ac:dyDescent="0.25"/>
    <row r="746" spans="3:11" x14ac:dyDescent="0.25"/>
    <row r="747" spans="3:11" x14ac:dyDescent="0.25"/>
    <row r="748" spans="3:11" x14ac:dyDescent="0.25"/>
    <row r="749" spans="3:11" x14ac:dyDescent="0.25"/>
    <row r="750" spans="3:11" x14ac:dyDescent="0.25"/>
    <row r="751" spans="3:11" x14ac:dyDescent="0.25"/>
    <row r="752" spans="3:11" x14ac:dyDescent="0.25"/>
    <row r="753" spans="3:11" x14ac:dyDescent="0.25"/>
    <row r="754" spans="3:11" x14ac:dyDescent="0.25"/>
    <row r="755" spans="3:11" x14ac:dyDescent="0.25"/>
    <row r="756" spans="3:11" x14ac:dyDescent="0.25"/>
    <row r="757" spans="3:11" x14ac:dyDescent="0.25"/>
    <row r="758" spans="3:11" x14ac:dyDescent="0.25"/>
    <row r="759" spans="3:11" x14ac:dyDescent="0.25"/>
    <row r="760" spans="3:11" x14ac:dyDescent="0.25"/>
    <row r="761" spans="3:11" x14ac:dyDescent="0.25"/>
    <row r="762" spans="3:11" x14ac:dyDescent="0.25"/>
    <row r="763" spans="3:11" x14ac:dyDescent="0.25"/>
    <row r="764" spans="3:11" x14ac:dyDescent="0.25"/>
    <row r="765" spans="3:11" x14ac:dyDescent="0.25"/>
    <row r="766" spans="3:11" x14ac:dyDescent="0.25"/>
    <row r="767" spans="3:11" x14ac:dyDescent="0.25"/>
    <row r="768" spans="3:11" x14ac:dyDescent="0.25"/>
    <row r="769" spans="3:11" x14ac:dyDescent="0.25"/>
    <row r="770" spans="3:11" x14ac:dyDescent="0.25"/>
    <row r="771" spans="3:11" x14ac:dyDescent="0.25"/>
    <row r="772" spans="3:11" x14ac:dyDescent="0.25"/>
    <row r="773" spans="3:11" x14ac:dyDescent="0.25"/>
    <row r="774" spans="3:11" x14ac:dyDescent="0.25"/>
    <row r="775" spans="3:11" x14ac:dyDescent="0.25"/>
    <row r="776" spans="3:11" x14ac:dyDescent="0.25"/>
    <row r="777" spans="3:11" x14ac:dyDescent="0.25"/>
    <row r="778" spans="3:11" x14ac:dyDescent="0.25"/>
    <row r="779" spans="3:11" x14ac:dyDescent="0.25"/>
    <row r="780" spans="3:11" x14ac:dyDescent="0.25"/>
    <row r="781" spans="3:11" x14ac:dyDescent="0.25"/>
    <row r="782" spans="3:11" x14ac:dyDescent="0.25"/>
    <row r="783" spans="3:11" x14ac:dyDescent="0.25"/>
    <row r="784" spans="3:11" x14ac:dyDescent="0.25"/>
    <row r="785" spans="3:11" x14ac:dyDescent="0.25"/>
    <row r="786" spans="3:11" x14ac:dyDescent="0.25"/>
    <row r="787" spans="3:11" x14ac:dyDescent="0.25"/>
    <row r="788" spans="3:11" x14ac:dyDescent="0.25"/>
    <row r="789" spans="3:11" x14ac:dyDescent="0.25"/>
    <row r="790" spans="3:11" x14ac:dyDescent="0.25"/>
    <row r="791" spans="3:11" x14ac:dyDescent="0.25"/>
    <row r="792" spans="3:11" x14ac:dyDescent="0.25"/>
    <row r="793" spans="3:11" x14ac:dyDescent="0.25"/>
    <row r="794" spans="3:11" x14ac:dyDescent="0.25"/>
    <row r="795" spans="3:11" x14ac:dyDescent="0.25"/>
    <row r="796" spans="3:11" x14ac:dyDescent="0.25"/>
    <row r="797" spans="3:11" x14ac:dyDescent="0.25"/>
    <row r="798" spans="3:11" x14ac:dyDescent="0.25"/>
    <row r="799" spans="3:11" x14ac:dyDescent="0.25"/>
    <row r="800" spans="3:11" x14ac:dyDescent="0.25"/>
    <row r="801" spans="3:11" x14ac:dyDescent="0.25"/>
    <row r="802" spans="3:11" x14ac:dyDescent="0.25"/>
    <row r="803" spans="3:11" x14ac:dyDescent="0.25"/>
    <row r="804" spans="3:11" x14ac:dyDescent="0.25"/>
    <row r="805" spans="3:11" x14ac:dyDescent="0.25"/>
    <row r="806" spans="3:11" x14ac:dyDescent="0.25"/>
    <row r="807" spans="3:11" x14ac:dyDescent="0.25"/>
    <row r="808" spans="3:11" x14ac:dyDescent="0.25"/>
    <row r="809" spans="3:11" x14ac:dyDescent="0.25"/>
    <row r="810" spans="3:11" x14ac:dyDescent="0.25"/>
    <row r="811" spans="3:11" x14ac:dyDescent="0.25"/>
    <row r="812" spans="3:11" x14ac:dyDescent="0.25"/>
    <row r="813" spans="3:11" x14ac:dyDescent="0.25"/>
    <row r="814" spans="3:11" x14ac:dyDescent="0.25"/>
    <row r="815" spans="3:11" x14ac:dyDescent="0.25"/>
    <row r="816" spans="3:11" x14ac:dyDescent="0.25"/>
    <row r="817" spans="3:11" x14ac:dyDescent="0.25"/>
    <row r="818" spans="3:11" x14ac:dyDescent="0.25"/>
    <row r="819" spans="3:11" x14ac:dyDescent="0.25"/>
    <row r="820" spans="3:11" x14ac:dyDescent="0.25"/>
    <row r="821" spans="3:11" x14ac:dyDescent="0.25"/>
    <row r="822" spans="3:11" x14ac:dyDescent="0.25"/>
    <row r="823" spans="3:11" x14ac:dyDescent="0.25"/>
    <row r="824" spans="3:11" x14ac:dyDescent="0.25"/>
    <row r="825" spans="3:11" x14ac:dyDescent="0.25"/>
    <row r="826" spans="3:11" x14ac:dyDescent="0.25"/>
    <row r="827" spans="3:11" x14ac:dyDescent="0.25"/>
    <row r="828" spans="3:11" x14ac:dyDescent="0.25"/>
    <row r="829" spans="3:11" x14ac:dyDescent="0.25"/>
    <row r="830" spans="3:11" x14ac:dyDescent="0.25"/>
    <row r="831" spans="3:11" x14ac:dyDescent="0.25"/>
    <row r="832" spans="3:11" x14ac:dyDescent="0.25"/>
    <row r="833" spans="3:11" x14ac:dyDescent="0.25"/>
    <row r="834" spans="3:11" x14ac:dyDescent="0.25"/>
    <row r="835" spans="3:11" x14ac:dyDescent="0.25"/>
    <row r="836" spans="3:11" x14ac:dyDescent="0.25"/>
    <row r="837" spans="3:11" x14ac:dyDescent="0.25"/>
    <row r="838" spans="3:11" x14ac:dyDescent="0.25"/>
    <row r="839" spans="3:11" x14ac:dyDescent="0.25"/>
    <row r="840" spans="3:11" x14ac:dyDescent="0.25"/>
    <row r="841" spans="3:11" x14ac:dyDescent="0.25"/>
    <row r="842" spans="3:11" x14ac:dyDescent="0.25"/>
    <row r="843" spans="3:11" x14ac:dyDescent="0.25"/>
    <row r="844" spans="3:11" x14ac:dyDescent="0.25"/>
    <row r="845" spans="3:11" x14ac:dyDescent="0.25"/>
    <row r="846" spans="3:11" x14ac:dyDescent="0.25"/>
    <row r="847" spans="3:11" x14ac:dyDescent="0.25"/>
    <row r="848" spans="3:11" x14ac:dyDescent="0.25"/>
    <row r="849" spans="3:11" x14ac:dyDescent="0.25"/>
    <row r="850" spans="3:11" x14ac:dyDescent="0.25"/>
    <row r="851" spans="3:11" x14ac:dyDescent="0.25"/>
    <row r="852" spans="3:11" x14ac:dyDescent="0.25"/>
    <row r="853" spans="3:11" x14ac:dyDescent="0.25"/>
    <row r="854" spans="3:11" x14ac:dyDescent="0.25"/>
    <row r="855" spans="3:11" x14ac:dyDescent="0.25"/>
    <row r="856" spans="3:11" x14ac:dyDescent="0.25"/>
    <row r="857" spans="3:11" x14ac:dyDescent="0.25"/>
    <row r="858" spans="3:11" x14ac:dyDescent="0.25"/>
    <row r="859" spans="3:11" x14ac:dyDescent="0.25"/>
    <row r="860" spans="3:11" x14ac:dyDescent="0.25"/>
    <row r="861" spans="3:11" x14ac:dyDescent="0.25"/>
    <row r="862" spans="3:11" x14ac:dyDescent="0.25"/>
    <row r="863" spans="3:11" x14ac:dyDescent="0.25"/>
    <row r="864" spans="3:11" x14ac:dyDescent="0.25"/>
    <row r="865" spans="3:11" x14ac:dyDescent="0.25"/>
    <row r="866" spans="3:11" x14ac:dyDescent="0.25"/>
    <row r="867" spans="3:11" x14ac:dyDescent="0.25"/>
    <row r="868" spans="3:11" x14ac:dyDescent="0.25"/>
    <row r="869" spans="3:11" x14ac:dyDescent="0.25"/>
    <row r="870" spans="3:11" x14ac:dyDescent="0.25"/>
    <row r="871" spans="3:11" x14ac:dyDescent="0.25"/>
    <row r="872" spans="3:11" x14ac:dyDescent="0.25"/>
    <row r="873" spans="3:11" x14ac:dyDescent="0.25"/>
    <row r="874" spans="3:11" x14ac:dyDescent="0.25"/>
    <row r="875" spans="3:11" x14ac:dyDescent="0.25"/>
    <row r="876" spans="3:11" x14ac:dyDescent="0.25"/>
    <row r="877" spans="3:11" x14ac:dyDescent="0.25"/>
    <row r="878" spans="3:11" x14ac:dyDescent="0.25"/>
    <row r="879" spans="3:11" x14ac:dyDescent="0.25"/>
    <row r="880" spans="3:11" x14ac:dyDescent="0.25"/>
    <row r="881" spans="3:11" x14ac:dyDescent="0.25"/>
    <row r="882" spans="3:11" x14ac:dyDescent="0.25"/>
    <row r="883" spans="3:11" x14ac:dyDescent="0.25"/>
    <row r="884" spans="3:11" x14ac:dyDescent="0.25"/>
    <row r="885" spans="3:11" x14ac:dyDescent="0.25"/>
    <row r="886" spans="3:11" x14ac:dyDescent="0.25"/>
    <row r="887" spans="3:11" x14ac:dyDescent="0.25"/>
    <row r="888" spans="3:11" x14ac:dyDescent="0.25"/>
    <row r="889" spans="3:11" x14ac:dyDescent="0.25"/>
    <row r="890" spans="3:11" x14ac:dyDescent="0.25"/>
    <row r="891" spans="3:11" x14ac:dyDescent="0.25"/>
    <row r="892" spans="3:11" x14ac:dyDescent="0.25"/>
    <row r="893" spans="3:11" x14ac:dyDescent="0.25"/>
    <row r="894" spans="3:11" x14ac:dyDescent="0.25"/>
    <row r="895" spans="3:11" x14ac:dyDescent="0.25"/>
    <row r="896" spans="3:11" x14ac:dyDescent="0.25"/>
    <row r="897" spans="3:11" x14ac:dyDescent="0.25"/>
    <row r="898" spans="3:11" x14ac:dyDescent="0.25"/>
    <row r="899" spans="3:11" x14ac:dyDescent="0.25"/>
    <row r="900" spans="3:11" x14ac:dyDescent="0.25"/>
    <row r="901" spans="3:11" x14ac:dyDescent="0.25"/>
    <row r="902" spans="3:11" x14ac:dyDescent="0.25"/>
    <row r="903" spans="3:11" x14ac:dyDescent="0.25"/>
    <row r="904" spans="3:11" x14ac:dyDescent="0.25"/>
    <row r="905" spans="3:11" x14ac:dyDescent="0.25"/>
    <row r="906" spans="3:11" x14ac:dyDescent="0.25"/>
    <row r="907" spans="3:11" x14ac:dyDescent="0.25"/>
    <row r="908" spans="3:11" x14ac:dyDescent="0.25"/>
    <row r="909" spans="3:11" x14ac:dyDescent="0.25"/>
    <row r="910" spans="3:11" x14ac:dyDescent="0.25"/>
    <row r="911" spans="3:11" x14ac:dyDescent="0.25"/>
    <row r="912" spans="3:11" x14ac:dyDescent="0.25"/>
    <row r="913" spans="3:11" x14ac:dyDescent="0.25"/>
    <row r="914" spans="3:11" x14ac:dyDescent="0.25"/>
    <row r="915" spans="3:11" x14ac:dyDescent="0.25"/>
    <row r="916" spans="3:11" x14ac:dyDescent="0.25"/>
    <row r="917" spans="3:11" x14ac:dyDescent="0.25"/>
    <row r="918" spans="3:11" x14ac:dyDescent="0.25"/>
    <row r="919" spans="3:11" x14ac:dyDescent="0.25"/>
    <row r="920" spans="3:11" x14ac:dyDescent="0.25"/>
    <row r="921" spans="3:11" x14ac:dyDescent="0.25"/>
    <row r="922" spans="3:11" x14ac:dyDescent="0.25"/>
    <row r="923" spans="3:11" x14ac:dyDescent="0.25"/>
    <row r="924" spans="3:11" x14ac:dyDescent="0.25"/>
    <row r="925" spans="3:11" x14ac:dyDescent="0.25"/>
    <row r="926" spans="3:11" x14ac:dyDescent="0.25"/>
    <row r="927" spans="3:11" x14ac:dyDescent="0.25"/>
    <row r="928" spans="3:11" x14ac:dyDescent="0.25"/>
    <row r="929" spans="3:11" x14ac:dyDescent="0.25"/>
    <row r="930" spans="3:11" x14ac:dyDescent="0.25"/>
    <row r="931" spans="3:11" x14ac:dyDescent="0.25"/>
    <row r="932" spans="3:11" x14ac:dyDescent="0.25"/>
    <row r="933" spans="3:11" x14ac:dyDescent="0.25"/>
    <row r="934" spans="3:11" x14ac:dyDescent="0.25"/>
    <row r="935" spans="3:11" x14ac:dyDescent="0.25"/>
    <row r="936" spans="3:11" x14ac:dyDescent="0.25"/>
    <row r="937" spans="3:11" x14ac:dyDescent="0.25"/>
    <row r="938" spans="3:11" x14ac:dyDescent="0.25"/>
    <row r="939" spans="3:11" x14ac:dyDescent="0.25"/>
    <row r="940" spans="3:11" x14ac:dyDescent="0.25"/>
    <row r="941" spans="3:11" x14ac:dyDescent="0.25"/>
    <row r="942" spans="3:11" x14ac:dyDescent="0.25"/>
    <row r="943" spans="3:11" x14ac:dyDescent="0.25"/>
    <row r="944" spans="3:11" x14ac:dyDescent="0.25"/>
    <row r="945" spans="3:11" x14ac:dyDescent="0.25"/>
    <row r="946" spans="3:11" x14ac:dyDescent="0.25"/>
    <row r="947" spans="3:11" x14ac:dyDescent="0.25"/>
    <row r="948" spans="3:11" x14ac:dyDescent="0.25"/>
    <row r="949" spans="3:11" x14ac:dyDescent="0.25"/>
    <row r="950" spans="3:11" x14ac:dyDescent="0.25"/>
    <row r="951" spans="3:11" x14ac:dyDescent="0.25"/>
    <row r="952" spans="3:11" x14ac:dyDescent="0.25"/>
    <row r="953" spans="3:11" x14ac:dyDescent="0.25"/>
    <row r="954" spans="3:11" x14ac:dyDescent="0.25"/>
    <row r="955" spans="3:11" x14ac:dyDescent="0.25"/>
    <row r="956" spans="3:11" x14ac:dyDescent="0.25"/>
    <row r="957" spans="3:11" x14ac:dyDescent="0.25"/>
    <row r="958" spans="3:11" x14ac:dyDescent="0.25"/>
    <row r="959" spans="3:11" x14ac:dyDescent="0.25"/>
    <row r="960" spans="3:11" x14ac:dyDescent="0.25"/>
    <row r="961" spans="3:11" x14ac:dyDescent="0.25"/>
    <row r="962" spans="3:11" x14ac:dyDescent="0.25"/>
    <row r="963" spans="3:11" x14ac:dyDescent="0.25"/>
    <row r="964" spans="3:11" x14ac:dyDescent="0.25"/>
    <row r="965" spans="3:11" x14ac:dyDescent="0.25"/>
    <row r="966" spans="3:11" x14ac:dyDescent="0.25"/>
    <row r="967" spans="3:11" x14ac:dyDescent="0.25"/>
    <row r="968" spans="3:11" x14ac:dyDescent="0.25"/>
    <row r="969" spans="3:11" x14ac:dyDescent="0.25"/>
    <row r="970" spans="3:11" x14ac:dyDescent="0.25"/>
    <row r="971" spans="3:11" x14ac:dyDescent="0.25"/>
    <row r="972" spans="3:11" x14ac:dyDescent="0.25"/>
    <row r="973" spans="3:11" x14ac:dyDescent="0.25"/>
    <row r="974" spans="3:11" x14ac:dyDescent="0.25"/>
    <row r="975" spans="3:11" x14ac:dyDescent="0.25"/>
    <row r="976" spans="3:11" x14ac:dyDescent="0.25"/>
    <row r="977" spans="3:11" x14ac:dyDescent="0.25"/>
    <row r="978" spans="3:11" x14ac:dyDescent="0.25"/>
    <row r="979" spans="3:11" x14ac:dyDescent="0.25"/>
    <row r="980" spans="3:11" x14ac:dyDescent="0.25"/>
    <row r="981" spans="3:11" x14ac:dyDescent="0.25"/>
    <row r="982" spans="3:11" x14ac:dyDescent="0.25"/>
    <row r="983" spans="3:11" x14ac:dyDescent="0.25"/>
    <row r="984" spans="3:11" x14ac:dyDescent="0.25"/>
    <row r="985" spans="3:11" x14ac:dyDescent="0.25"/>
    <row r="986" spans="3:11" x14ac:dyDescent="0.25"/>
    <row r="987" spans="3:11" x14ac:dyDescent="0.25"/>
    <row r="988" spans="3:11" x14ac:dyDescent="0.25"/>
    <row r="989" spans="3:11" x14ac:dyDescent="0.25"/>
    <row r="990" spans="3:11" x14ac:dyDescent="0.25"/>
    <row r="991" spans="3:11" x14ac:dyDescent="0.25"/>
    <row r="992" spans="3:11" x14ac:dyDescent="0.25"/>
    <row r="993" spans="3:11" x14ac:dyDescent="0.25"/>
    <row r="994" spans="3:11" x14ac:dyDescent="0.25"/>
    <row r="995" spans="3:11" x14ac:dyDescent="0.25"/>
    <row r="996" spans="3:11" x14ac:dyDescent="0.25"/>
    <row r="997" spans="3:11" x14ac:dyDescent="0.25"/>
    <row r="998" spans="3:11" x14ac:dyDescent="0.25"/>
    <row r="999" spans="3:11" x14ac:dyDescent="0.25"/>
    <row r="1000" spans="3:11" x14ac:dyDescent="0.25"/>
  </sheetData>
  <conditionalFormatting sqref="J5:J1000">
    <cfRule type="containsText" dxfId="0" priority="1">
      <formula>NOT(ISERROR(SEARCH("Top pick",J5)))</formula>
    </cfRule>
  </conditionalFormatting>
  <conditionalFormatting sqref="M5:M1000">
    <cfRule type="containsText" dxfId="1" priority="1">
      <formula>NOT(ISERROR(SEARCH("Not in",M5)))</formula>
    </cfRule>
  </conditionalFormatting>
  <dataValidations count="8">
    <dataValidation type="list" allowBlank="1" showErrorMessage="1" sqref="C10:C1000">
      <formula1>"Reddit Stories,History Facts,Motivation,AI Tools,True Crime,Finance Facts,Science Facts,Beauty &amp; Skincare,Fitness &amp; Health,Other"</formula1>
    </dataValidation>
    <dataValidation type="list" allowBlank="1" showErrorMessage="1" sqref="C5:C1000">
      <formula1>"Reddit Stories,History Facts,Motivation,AI Tools,True Crime,Finance Facts,Science Facts,Beauty &amp; Skincare,Fitness &amp; Health,Other"</formula1>
    </dataValidation>
    <dataValidation type="list" allowBlank="1" showErrorMessage="1" sqref="D10:D1000">
      <formula1>"Question,Shocking Fact,Story Cold Open,You won't believe,List / Countdown,Myth vs Truth,POV,Challenge,Before/After,Direct Promise"</formula1>
    </dataValidation>
    <dataValidation type="list" allowBlank="1" showErrorMessage="1" sqref="D5:D1000">
      <formula1>"Question,Shocking Fact,Story Cold Open,You won't believe,List / Countdown,Myth vs Truth,POV,Challenge,Before/After,Direct Promise"</formula1>
    </dataValidation>
    <dataValidation type="list" allowBlank="1" showErrorMessage="1" sqref="F10:H1000">
      <formula1>"1,2,3,4,5"</formula1>
    </dataValidation>
    <dataValidation type="list" allowBlank="1" showErrorMessage="1" sqref="F5:H1000">
      <formula1>"1,2,3,4,5"</formula1>
    </dataValidation>
    <dataValidation type="list" allowBlank="1" showErrorMessage="1" sqref="K10:K1000">
      <formula1>"Idea,Testing,Scripted,Edited,Scheduled,Posted,Dropped"</formula1>
    </dataValidation>
    <dataValidation type="list" allowBlank="1" showErrorMessage="1" sqref="K5:K1000">
      <formula1>"Idea,Testing,Scripted,Edited,Scheduled,Posted,Dropped"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8" customWidth="1"/>
    <col min="5" max="5" width="16" customWidth="1"/>
    <col min="7" max="9" width="10" customWidth="1"/>
    <col min="10" max="10" width="8" customWidth="1"/>
    <col min="12" max="13" width="8" customWidth="1"/>
    <col min="15" max="16" width="10" customWidth="1"/>
    <col min="17" max="18" width="11" customWidth="1"/>
    <col min="19" max="19" width="10" customWidth="1"/>
    <col min="20" max="20" width="12" customWidth="1"/>
    <col min="22" max="22" width="18" customWidth="1"/>
    <col min="23" max="26" width="8" customWidth="1"/>
    <col min="27" max="27" width="10" customWidth="1"/>
  </cols>
  <sheetData>
    <row r="1" spans="1:1" x14ac:dyDescent="0.25">
      <c r="A1" s="1" t="s">
        <v>36</v>
      </c>
    </row>
    <row r="2" spans="1:1" x14ac:dyDescent="0.25">
      <c r="A2" s="2" t="s">
        <v>220</v>
      </c>
    </row>
    <row r="4" spans="1:27" x14ac:dyDescent="0.25">
      <c r="A4" s="3" t="s">
        <v>221</v>
      </c>
      <c r="B4" s="3" t="s">
        <v>222</v>
      </c>
      <c r="C4" s="3" t="s">
        <v>171</v>
      </c>
      <c r="D4" s="3" t="s">
        <v>172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J4" s="3" t="s">
        <v>228</v>
      </c>
      <c r="K4" s="3" t="s">
        <v>229</v>
      </c>
      <c r="L4" s="3" t="s">
        <v>230</v>
      </c>
      <c r="M4" s="3" t="s">
        <v>231</v>
      </c>
      <c r="N4" s="3" t="s">
        <v>232</v>
      </c>
      <c r="O4" s="3" t="s">
        <v>233</v>
      </c>
      <c r="P4" s="3" t="s">
        <v>234</v>
      </c>
      <c r="Q4" s="3" t="s">
        <v>235</v>
      </c>
      <c r="R4" s="3" t="s">
        <v>45</v>
      </c>
      <c r="S4" s="3" t="s">
        <v>47</v>
      </c>
      <c r="T4" s="3" t="s">
        <v>49</v>
      </c>
      <c r="U4" s="3" t="s">
        <v>236</v>
      </c>
      <c r="V4" s="3" t="s">
        <v>55</v>
      </c>
      <c r="W4" s="3" t="s">
        <v>237</v>
      </c>
      <c r="X4" s="3" t="s">
        <v>238</v>
      </c>
      <c r="Y4" s="3" t="s">
        <v>239</v>
      </c>
      <c r="Z4" s="3" t="s">
        <v>240</v>
      </c>
      <c r="AA4" s="3" t="s">
        <v>241</v>
      </c>
    </row>
    <row r="5" spans="1:27" x14ac:dyDescent="0.25">
      <c r="A5" s="6">
        <v>46286</v>
      </c>
      <c r="B5" s="5" t="s">
        <v>180</v>
      </c>
      <c r="C5" s="5" t="s">
        <v>126</v>
      </c>
      <c r="D5" s="5" t="s">
        <v>141</v>
      </c>
      <c r="E5" s="5" t="s">
        <v>128</v>
      </c>
      <c r="F5" s="5">
        <v>41</v>
      </c>
      <c r="G5" s="7">
        <v>1230</v>
      </c>
      <c r="H5" s="7">
        <v>2050</v>
      </c>
      <c r="I5" s="8">
        <v>0.71</v>
      </c>
      <c r="J5" s="7">
        <v>123</v>
      </c>
      <c r="K5" s="7">
        <v>16</v>
      </c>
      <c r="L5" s="7">
        <v>8</v>
      </c>
      <c r="M5" s="7">
        <v>5</v>
      </c>
      <c r="N5" s="9"/>
      <c r="O5" s="10"/>
      <c r="P5" s="4">
        <f>IF(F5="","",INDEX(Settings!$H$5:$H$9,1+(F5&gt;15)+(F5&gt;30)+(F5&gt;45)+(F5&gt;60)))</f>
      </c>
      <c r="Q5" s="11">
        <f>IFERROR((J5+K5+L5)/H5,"")</f>
      </c>
      <c r="R5" s="12">
        <f>IF(H5="","",IF(COUNTIFS(E:E,E5,P:P,P5,H:H,"&gt;=0")-1&lt;3,"Need 3+",(SUMIFS(H:H,E:E,E5,P:P,P5)-H5)/(COUNTIFS(E:E,E5,P:P,P5,H:H,"&gt;=0")-1)))</f>
      </c>
      <c r="S5" s="13">
        <f>IF(H5="","",IFERROR(ROUND(H5/R5,2),"—"))</f>
      </c>
      <c r="T5" s="4">
        <f>IF(H5="","",IF(S5="—","—",IF(S5&gt;=1.5,"🟢 Winner",IF(S5&lt;=0.5,"🔴 Flop","Normal"))))</f>
      </c>
      <c r="U5" s="14">
        <f>IF(I5="","",IF(I5&gt;1,I5/100,I5))</f>
      </c>
      <c r="V5" s="4">
        <f>IF((COUNTIF(Settings!$D$5:$D$34,C5)+(C5=""))*(COUNTIF(Settings!$E$5:$E$34,D5)+(D5=""))*(COUNTIF(Settings!$F$5:$F$34,E5)+(E5="")),"","⚠ Not in Settings")</f>
      </c>
      <c r="W5" s="4">
        <f>IF(H5="","",H5+ROW()/10000)</f>
      </c>
      <c r="X5" s="4">
        <f>IF(OR(A5="",W5=""),"",(INT((A5-Settings!$B$6)/7)+1)*1E10+W5)</f>
      </c>
      <c r="Y5" s="15">
        <f>IF(B5="","",IF(COUNTIF(B$5:B5,B5)=1,ROW(),""))</f>
      </c>
      <c r="Z5" s="4">
        <f>IF(H5="","",B5&amp;"|"&amp;E5)</f>
      </c>
      <c r="AA5" s="16">
        <f>IF(B5="","",IF(COUNTIF(B5:B$1000,B5)=1,A5,""))</f>
      </c>
    </row>
    <row r="6" spans="1:27" x14ac:dyDescent="0.25">
      <c r="A6" s="6">
        <v>46286</v>
      </c>
      <c r="B6" s="5" t="s">
        <v>180</v>
      </c>
      <c r="C6" s="5" t="s">
        <v>126</v>
      </c>
      <c r="D6" s="5" t="s">
        <v>141</v>
      </c>
      <c r="E6" s="5" t="s">
        <v>135</v>
      </c>
      <c r="F6" s="5">
        <v>41</v>
      </c>
      <c r="G6" s="7">
        <v>2052</v>
      </c>
      <c r="H6" s="7">
        <v>3420</v>
      </c>
      <c r="I6" s="8">
        <v>0.78</v>
      </c>
      <c r="J6" s="7">
        <v>205</v>
      </c>
      <c r="K6" s="7">
        <v>27</v>
      </c>
      <c r="L6" s="7">
        <v>14</v>
      </c>
      <c r="M6" s="7">
        <v>9</v>
      </c>
      <c r="N6" s="9">
        <v>9</v>
      </c>
      <c r="O6" s="10">
        <v>3.6</v>
      </c>
      <c r="P6" s="4">
        <f>IF(F6="","",INDEX(Settings!$H$5:$H$9,1+(F6&gt;15)+(F6&gt;30)+(F6&gt;45)+(F6&gt;60)))</f>
      </c>
      <c r="Q6" s="11">
        <f>IFERROR((J6+K6+L6)/H6,"")</f>
      </c>
      <c r="R6" s="12">
        <f>IF(H6="","",IF(COUNTIFS(E:E,E6,P:P,P6,H:H,"&gt;=0")-1&lt;3,"Need 3+",(SUMIFS(H:H,E:E,E6,P:P,P6)-H6)/(COUNTIFS(E:E,E6,P:P,P6,H:H,"&gt;=0")-1)))</f>
      </c>
      <c r="S6" s="13">
        <f>IF(H6="","",IFERROR(ROUND(H6/R6,2),"—"))</f>
      </c>
      <c r="T6" s="4">
        <f>IF(H6="","",IF(S6="—","—",IF(S6&gt;=1.5,"🟢 Winner",IF(S6&lt;=0.5,"🔴 Flop","Normal"))))</f>
      </c>
      <c r="U6" s="14">
        <f>IF(I6="","",IF(I6&gt;1,I6/100,I6))</f>
      </c>
      <c r="V6" s="4">
        <f>IF((COUNTIF(Settings!$D$5:$D$34,C6)+(C6=""))*(COUNTIF(Settings!$E$5:$E$34,D6)+(D6=""))*(COUNTIF(Settings!$F$5:$F$34,E6)+(E6="")),"","⚠ Not in Settings")</f>
      </c>
      <c r="W6" s="4">
        <f>IF(H6="","",H6+ROW()/10000)</f>
      </c>
      <c r="X6" s="4">
        <f>IF(OR(A6="",W6=""),"",(INT((A6-Settings!$B$6)/7)+1)*1E10+W6)</f>
      </c>
      <c r="Y6" s="15">
        <f>IF(B6="","",IF(COUNTIF(B$5:B6,B6)=1,ROW(),""))</f>
      </c>
      <c r="Z6" s="4">
        <f>IF(H6="","",B6&amp;"|"&amp;E6)</f>
      </c>
      <c r="AA6" s="16">
        <f>IF(B6="","",IF(COUNTIF(B6:B$1000,B6)=1,A6,""))</f>
      </c>
    </row>
    <row r="7" spans="1:27" x14ac:dyDescent="0.25">
      <c r="A7" s="6">
        <v>46286</v>
      </c>
      <c r="B7" s="5" t="s">
        <v>180</v>
      </c>
      <c r="C7" s="5" t="s">
        <v>126</v>
      </c>
      <c r="D7" s="5" t="s">
        <v>141</v>
      </c>
      <c r="E7" s="5" t="s">
        <v>142</v>
      </c>
      <c r="F7" s="5">
        <v>41</v>
      </c>
      <c r="G7" s="7">
        <v>690</v>
      </c>
      <c r="H7" s="7">
        <v>1150</v>
      </c>
      <c r="I7" s="8">
        <v>0.66</v>
      </c>
      <c r="J7" s="7">
        <v>69</v>
      </c>
      <c r="K7" s="7">
        <v>9</v>
      </c>
      <c r="L7" s="7">
        <v>5</v>
      </c>
      <c r="M7" s="7">
        <v>3</v>
      </c>
      <c r="N7" s="9"/>
      <c r="O7" s="10"/>
      <c r="P7" s="4">
        <f>IF(F7="","",INDEX(Settings!$H$5:$H$9,1+(F7&gt;15)+(F7&gt;30)+(F7&gt;45)+(F7&gt;60)))</f>
      </c>
      <c r="Q7" s="11">
        <f>IFERROR((J7+K7+L7)/H7,"")</f>
      </c>
      <c r="R7" s="12">
        <f>IF(H7="","",IF(COUNTIFS(E:E,E7,P:P,P7,H:H,"&gt;=0")-1&lt;3,"Need 3+",(SUMIFS(H:H,E:E,E7,P:P,P7)-H7)/(COUNTIFS(E:E,E7,P:P,P7,H:H,"&gt;=0")-1)))</f>
      </c>
      <c r="S7" s="13">
        <f>IF(H7="","",IFERROR(ROUND(H7/R7,2),"—"))</f>
      </c>
      <c r="T7" s="4">
        <f>IF(H7="","",IF(S7="—","—",IF(S7&gt;=1.5,"🟢 Winner",IF(S7&lt;=0.5,"🔴 Flop","Normal"))))</f>
      </c>
      <c r="U7" s="14">
        <f>IF(I7="","",IF(I7&gt;1,I7/100,I7))</f>
      </c>
      <c r="V7" s="4">
        <f>IF((COUNTIF(Settings!$D$5:$D$34,C7)+(C7=""))*(COUNTIF(Settings!$E$5:$E$34,D7)+(D7=""))*(COUNTIF(Settings!$F$5:$F$34,E7)+(E7="")),"","⚠ Not in Settings")</f>
      </c>
      <c r="W7" s="4">
        <f>IF(H7="","",H7+ROW()/10000)</f>
      </c>
      <c r="X7" s="4">
        <f>IF(OR(A7="",W7=""),"",(INT((A7-Settings!$B$6)/7)+1)*1E10+W7)</f>
      </c>
      <c r="Y7" s="15">
        <f>IF(B7="","",IF(COUNTIF(B$5:B7,B7)=1,ROW(),""))</f>
      </c>
      <c r="Z7" s="4">
        <f>IF(H7="","",B7&amp;"|"&amp;E7)</f>
      </c>
      <c r="AA7" s="16">
        <f>IF(B7="","",IF(COUNTIF(B7:B$1000,B7)=1,A7,""))</f>
      </c>
    </row>
    <row r="8" spans="1:27" x14ac:dyDescent="0.25">
      <c r="A8" s="6">
        <v>46287</v>
      </c>
      <c r="B8" s="5" t="s">
        <v>202</v>
      </c>
      <c r="C8" s="5" t="s">
        <v>133</v>
      </c>
      <c r="D8" s="5" t="s">
        <v>134</v>
      </c>
      <c r="E8" s="5" t="s">
        <v>128</v>
      </c>
      <c r="F8" s="5">
        <v>28</v>
      </c>
      <c r="G8" s="7">
        <v>786</v>
      </c>
      <c r="H8" s="7">
        <v>1310</v>
      </c>
      <c r="I8" s="8">
        <v>0.84</v>
      </c>
      <c r="J8" s="7">
        <v>79</v>
      </c>
      <c r="K8" s="7">
        <v>10</v>
      </c>
      <c r="L8" s="7">
        <v>5</v>
      </c>
      <c r="M8" s="7">
        <v>3</v>
      </c>
      <c r="N8" s="9"/>
      <c r="O8" s="10"/>
      <c r="P8" s="4">
        <f>IF(F8="","",INDEX(Settings!$H$5:$H$9,1+(F8&gt;15)+(F8&gt;30)+(F8&gt;45)+(F8&gt;60)))</f>
      </c>
      <c r="Q8" s="11">
        <f>IFERROR((J8+K8+L8)/H8,"")</f>
      </c>
      <c r="R8" s="12">
        <f>IF(H8="","",IF(COUNTIFS(E:E,E8,P:P,P8,H:H,"&gt;=0")-1&lt;3,"Need 3+",(SUMIFS(H:H,E:E,E8,P:P,P8)-H8)/(COUNTIFS(E:E,E8,P:P,P8,H:H,"&gt;=0")-1)))</f>
      </c>
      <c r="S8" s="13">
        <f>IF(H8="","",IFERROR(ROUND(H8/R8,2),"—"))</f>
      </c>
      <c r="T8" s="4">
        <f>IF(H8="","",IF(S8="—","—",IF(S8&gt;=1.5,"🟢 Winner",IF(S8&lt;=0.5,"🔴 Flop","Normal"))))</f>
      </c>
      <c r="U8" s="14">
        <f>IF(I8="","",IF(I8&gt;1,I8/100,I8))</f>
      </c>
      <c r="V8" s="4">
        <f>IF((COUNTIF(Settings!$D$5:$D$34,C8)+(C8=""))*(COUNTIF(Settings!$E$5:$E$34,D8)+(D8=""))*(COUNTIF(Settings!$F$5:$F$34,E8)+(E8="")),"","⚠ Not in Settings")</f>
      </c>
      <c r="W8" s="4">
        <f>IF(H8="","",H8+ROW()/10000)</f>
      </c>
      <c r="X8" s="4">
        <f>IF(OR(A8="",W8=""),"",(INT((A8-Settings!$B$6)/7)+1)*1E10+W8)</f>
      </c>
      <c r="Y8" s="15">
        <f>IF(B8="","",IF(COUNTIF(B$5:B8,B8)=1,ROW(),""))</f>
      </c>
      <c r="Z8" s="4">
        <f>IF(H8="","",B8&amp;"|"&amp;E8)</f>
      </c>
      <c r="AA8" s="16">
        <f>IF(B8="","",IF(COUNTIF(B8:B$1000,B8)=1,A8,""))</f>
      </c>
    </row>
    <row r="9" spans="1:27" x14ac:dyDescent="0.25">
      <c r="A9" s="6">
        <v>46287</v>
      </c>
      <c r="B9" s="5" t="s">
        <v>202</v>
      </c>
      <c r="C9" s="5" t="s">
        <v>133</v>
      </c>
      <c r="D9" s="5" t="s">
        <v>134</v>
      </c>
      <c r="E9" s="5" t="s">
        <v>135</v>
      </c>
      <c r="F9" s="5">
        <v>28</v>
      </c>
      <c r="G9" s="7">
        <v>1260</v>
      </c>
      <c r="H9" s="7">
        <v>2100</v>
      </c>
      <c r="I9" s="8">
        <v>0.79</v>
      </c>
      <c r="J9" s="7">
        <v>126</v>
      </c>
      <c r="K9" s="7">
        <v>17</v>
      </c>
      <c r="L9" s="7">
        <v>8</v>
      </c>
      <c r="M9" s="7">
        <v>5</v>
      </c>
      <c r="N9" s="9"/>
      <c r="O9" s="10"/>
      <c r="P9" s="4">
        <f>IF(F9="","",INDEX(Settings!$H$5:$H$9,1+(F9&gt;15)+(F9&gt;30)+(F9&gt;45)+(F9&gt;60)))</f>
      </c>
      <c r="Q9" s="11">
        <f>IFERROR((J9+K9+L9)/H9,"")</f>
      </c>
      <c r="R9" s="12">
        <f>IF(H9="","",IF(COUNTIFS(E:E,E9,P:P,P9,H:H,"&gt;=0")-1&lt;3,"Need 3+",(SUMIFS(H:H,E:E,E9,P:P,P9)-H9)/(COUNTIFS(E:E,E9,P:P,P9,H:H,"&gt;=0")-1)))</f>
      </c>
      <c r="S9" s="13">
        <f>IF(H9="","",IFERROR(ROUND(H9/R9,2),"—"))</f>
      </c>
      <c r="T9" s="4">
        <f>IF(H9="","",IF(S9="—","—",IF(S9&gt;=1.5,"🟢 Winner",IF(S9&lt;=0.5,"🔴 Flop","Normal"))))</f>
      </c>
      <c r="U9" s="14">
        <f>IF(I9="","",IF(I9&gt;1,I9/100,I9))</f>
      </c>
      <c r="V9" s="4">
        <f>IF((COUNTIF(Settings!$D$5:$D$34,C9)+(C9=""))*(COUNTIF(Settings!$E$5:$E$34,D9)+(D9=""))*(COUNTIF(Settings!$F$5:$F$34,E9)+(E9="")),"","⚠ Not in Settings")</f>
      </c>
      <c r="W9" s="4">
        <f>IF(H9="","",H9+ROW()/10000)</f>
      </c>
      <c r="X9" s="4">
        <f>IF(OR(A9="",W9=""),"",(INT((A9-Settings!$B$6)/7)+1)*1E10+W9)</f>
      </c>
      <c r="Y9" s="15">
        <f>IF(B9="","",IF(COUNTIF(B$5:B9,B9)=1,ROW(),""))</f>
      </c>
      <c r="Z9" s="4">
        <f>IF(H9="","",B9&amp;"|"&amp;E9)</f>
      </c>
      <c r="AA9" s="16">
        <f>IF(B9="","",IF(COUNTIF(B9:B$1000,B9)=1,A9,""))</f>
      </c>
    </row>
    <row r="10" spans="1:27" x14ac:dyDescent="0.25">
      <c r="A10" s="6">
        <v>46287</v>
      </c>
      <c r="B10" s="5" t="s">
        <v>202</v>
      </c>
      <c r="C10" s="5" t="s">
        <v>133</v>
      </c>
      <c r="D10" s="5" t="s">
        <v>134</v>
      </c>
      <c r="E10" s="5" t="s">
        <v>142</v>
      </c>
      <c r="F10" s="5">
        <v>28</v>
      </c>
      <c r="G10" s="7">
        <v>456</v>
      </c>
      <c r="H10" s="7">
        <v>760</v>
      </c>
      <c r="I10" s="8">
        <v>0.75</v>
      </c>
      <c r="J10" s="7">
        <v>46</v>
      </c>
      <c r="K10" s="7">
        <v>6</v>
      </c>
      <c r="L10" s="7">
        <v>3</v>
      </c>
      <c r="M10" s="7">
        <v>2</v>
      </c>
      <c r="N10" s="9"/>
      <c r="O10" s="10"/>
      <c r="P10" s="4">
        <f>IF(F10="","",INDEX(Settings!$H$5:$H$9,1+(F10&gt;15)+(F10&gt;30)+(F10&gt;45)+(F10&gt;60)))</f>
      </c>
      <c r="Q10" s="11">
        <f>IFERROR((J10+K10+L10)/H10,"")</f>
      </c>
      <c r="R10" s="12">
        <f>IF(H10="","",IF(COUNTIFS(E:E,E10,P:P,P10,H:H,"&gt;=0")-1&lt;3,"Need 3+",(SUMIFS(H:H,E:E,E10,P:P,P10)-H10)/(COUNTIFS(E:E,E10,P:P,P10,H:H,"&gt;=0")-1)))</f>
      </c>
      <c r="S10" s="13">
        <f>IF(H10="","",IFERROR(ROUND(H10/R10,2),"—"))</f>
      </c>
      <c r="T10" s="4">
        <f>IF(H10="","",IF(S10="—","—",IF(S10&gt;=1.5,"🟢 Winner",IF(S10&lt;=0.5,"🔴 Flop","Normal"))))</f>
      </c>
      <c r="U10" s="14">
        <f>IF(I10="","",IF(I10&gt;1,I10/100,I10))</f>
      </c>
      <c r="V10" s="4">
        <f>IF((COUNTIF(Settings!$D$5:$D$34,C10)+(C10=""))*(COUNTIF(Settings!$E$5:$E$34,D10)+(D10=""))*(COUNTIF(Settings!$F$5:$F$34,E10)+(E10="")),"","⚠ Not in Settings")</f>
      </c>
      <c r="W10" s="4">
        <f>IF(H10="","",H10+ROW()/10000)</f>
      </c>
      <c r="X10" s="4">
        <f>IF(OR(A10="",W10=""),"",(INT((A10-Settings!$B$6)/7)+1)*1E10+W10)</f>
      </c>
      <c r="Y10" s="15">
        <f>IF(B10="","",IF(COUNTIF(B$5:B10,B10)=1,ROW(),""))</f>
      </c>
      <c r="Z10" s="4">
        <f>IF(H10="","",B10&amp;"|"&amp;E10)</f>
      </c>
      <c r="AA10" s="16">
        <f>IF(B10="","",IF(COUNTIF(B10:B$1000,B10)=1,A10,""))</f>
      </c>
    </row>
    <row r="11" spans="1:27" x14ac:dyDescent="0.25">
      <c r="A11" s="6">
        <v>46288</v>
      </c>
      <c r="B11" s="5" t="s">
        <v>183</v>
      </c>
      <c r="C11" s="5" t="s">
        <v>126</v>
      </c>
      <c r="D11" s="5" t="s">
        <v>154</v>
      </c>
      <c r="E11" s="5" t="s">
        <v>128</v>
      </c>
      <c r="F11" s="5">
        <v>47</v>
      </c>
      <c r="G11" s="7">
        <v>540</v>
      </c>
      <c r="H11" s="7">
        <v>900</v>
      </c>
      <c r="I11" s="8">
        <v>0.52</v>
      </c>
      <c r="J11" s="7">
        <v>54</v>
      </c>
      <c r="K11" s="7">
        <v>7</v>
      </c>
      <c r="L11" s="7">
        <v>4</v>
      </c>
      <c r="M11" s="7">
        <v>2</v>
      </c>
      <c r="N11" s="9"/>
      <c r="O11" s="10"/>
      <c r="P11" s="4">
        <f>IF(F11="","",INDEX(Settings!$H$5:$H$9,1+(F11&gt;15)+(F11&gt;30)+(F11&gt;45)+(F11&gt;60)))</f>
      </c>
      <c r="Q11" s="11">
        <f>IFERROR((J11+K11+L11)/H11,"")</f>
      </c>
      <c r="R11" s="12">
        <f>IF(H11="","",IF(COUNTIFS(E:E,E11,P:P,P11,H:H,"&gt;=0")-1&lt;3,"Need 3+",(SUMIFS(H:H,E:E,E11,P:P,P11)-H11)/(COUNTIFS(E:E,E11,P:P,P11,H:H,"&gt;=0")-1)))</f>
      </c>
      <c r="S11" s="13">
        <f>IF(H11="","",IFERROR(ROUND(H11/R11,2),"—"))</f>
      </c>
      <c r="T11" s="4">
        <f>IF(H11="","",IF(S11="—","—",IF(S11&gt;=1.5,"🟢 Winner",IF(S11&lt;=0.5,"🔴 Flop","Normal"))))</f>
      </c>
      <c r="U11" s="14">
        <f>IF(I11="","",IF(I11&gt;1,I11/100,I11))</f>
      </c>
      <c r="V11" s="4">
        <f>IF((COUNTIF(Settings!$D$5:$D$34,C11)+(C11=""))*(COUNTIF(Settings!$E$5:$E$34,D11)+(D11=""))*(COUNTIF(Settings!$F$5:$F$34,E11)+(E11="")),"","⚠ Not in Settings")</f>
      </c>
      <c r="W11" s="4">
        <f>IF(H11="","",H11+ROW()/10000)</f>
      </c>
      <c r="X11" s="4">
        <f>IF(OR(A11="",W11=""),"",(INT((A11-Settings!$B$6)/7)+1)*1E10+W11)</f>
      </c>
      <c r="Y11" s="15">
        <f>IF(B11="","",IF(COUNTIF(B$5:B11,B11)=1,ROW(),""))</f>
      </c>
      <c r="Z11" s="4">
        <f>IF(H11="","",B11&amp;"|"&amp;E11)</f>
      </c>
      <c r="AA11" s="16">
        <f>IF(B11="","",IF(COUNTIF(B11:B$1000,B11)=1,A11,""))</f>
      </c>
    </row>
    <row r="12" spans="1:27" x14ac:dyDescent="0.25">
      <c r="A12" s="6">
        <v>46288</v>
      </c>
      <c r="B12" s="5" t="s">
        <v>183</v>
      </c>
      <c r="C12" s="5" t="s">
        <v>126</v>
      </c>
      <c r="D12" s="5" t="s">
        <v>154</v>
      </c>
      <c r="E12" s="5" t="s">
        <v>135</v>
      </c>
      <c r="F12" s="5">
        <v>47</v>
      </c>
      <c r="G12" s="7">
        <v>839</v>
      </c>
      <c r="H12" s="7">
        <v>1398</v>
      </c>
      <c r="I12" s="8">
        <v>0.55</v>
      </c>
      <c r="J12" s="7">
        <v>84</v>
      </c>
      <c r="K12" s="7">
        <v>11</v>
      </c>
      <c r="L12" s="7">
        <v>6</v>
      </c>
      <c r="M12" s="7">
        <v>3</v>
      </c>
      <c r="N12" s="9"/>
      <c r="O12" s="10"/>
      <c r="P12" s="4">
        <f>IF(F12="","",INDEX(Settings!$H$5:$H$9,1+(F12&gt;15)+(F12&gt;30)+(F12&gt;45)+(F12&gt;60)))</f>
      </c>
      <c r="Q12" s="11">
        <f>IFERROR((J12+K12+L12)/H12,"")</f>
      </c>
      <c r="R12" s="12">
        <f>IF(H12="","",IF(COUNTIFS(E:E,E12,P:P,P12,H:H,"&gt;=0")-1&lt;3,"Need 3+",(SUMIFS(H:H,E:E,E12,P:P,P12)-H12)/(COUNTIFS(E:E,E12,P:P,P12,H:H,"&gt;=0")-1)))</f>
      </c>
      <c r="S12" s="13">
        <f>IF(H12="","",IFERROR(ROUND(H12/R12,2),"—"))</f>
      </c>
      <c r="T12" s="4">
        <f>IF(H12="","",IF(S12="—","—",IF(S12&gt;=1.5,"🟢 Winner",IF(S12&lt;=0.5,"🔴 Flop","Normal"))))</f>
      </c>
      <c r="U12" s="14">
        <f>IF(I12="","",IF(I12&gt;1,I12/100,I12))</f>
      </c>
      <c r="V12" s="4">
        <f>IF((COUNTIF(Settings!$D$5:$D$34,C12)+(C12=""))*(COUNTIF(Settings!$E$5:$E$34,D12)+(D12=""))*(COUNTIF(Settings!$F$5:$F$34,E12)+(E12="")),"","⚠ Not in Settings")</f>
      </c>
      <c r="W12" s="4">
        <f>IF(H12="","",H12+ROW()/10000)</f>
      </c>
      <c r="X12" s="4">
        <f>IF(OR(A12="",W12=""),"",(INT((A12-Settings!$B$6)/7)+1)*1E10+W12)</f>
      </c>
      <c r="Y12" s="15">
        <f>IF(B12="","",IF(COUNTIF(B$5:B12,B12)=1,ROW(),""))</f>
      </c>
      <c r="Z12" s="4">
        <f>IF(H12="","",B12&amp;"|"&amp;E12)</f>
      </c>
      <c r="AA12" s="16">
        <f>IF(B12="","",IF(COUNTIF(B12:B$1000,B12)=1,A12,""))</f>
      </c>
    </row>
    <row r="13" spans="1:27" x14ac:dyDescent="0.25">
      <c r="A13" s="6">
        <v>46288</v>
      </c>
      <c r="B13" s="5" t="s">
        <v>183</v>
      </c>
      <c r="C13" s="5" t="s">
        <v>126</v>
      </c>
      <c r="D13" s="5" t="s">
        <v>154</v>
      </c>
      <c r="E13" s="5" t="s">
        <v>142</v>
      </c>
      <c r="F13" s="5">
        <v>47</v>
      </c>
      <c r="G13" s="7">
        <v>313</v>
      </c>
      <c r="H13" s="7">
        <v>522</v>
      </c>
      <c r="I13" s="8">
        <v>0.5</v>
      </c>
      <c r="J13" s="7">
        <v>31</v>
      </c>
      <c r="K13" s="7">
        <v>4</v>
      </c>
      <c r="L13" s="7">
        <v>2</v>
      </c>
      <c r="M13" s="7">
        <v>1</v>
      </c>
      <c r="N13" s="9"/>
      <c r="O13" s="10"/>
      <c r="P13" s="4">
        <f>IF(F13="","",INDEX(Settings!$H$5:$H$9,1+(F13&gt;15)+(F13&gt;30)+(F13&gt;45)+(F13&gt;60)))</f>
      </c>
      <c r="Q13" s="11">
        <f>IFERROR((J13+K13+L13)/H13,"")</f>
      </c>
      <c r="R13" s="12">
        <f>IF(H13="","",IF(COUNTIFS(E:E,E13,P:P,P13,H:H,"&gt;=0")-1&lt;3,"Need 3+",(SUMIFS(H:H,E:E,E13,P:P,P13)-H13)/(COUNTIFS(E:E,E13,P:P,P13,H:H,"&gt;=0")-1)))</f>
      </c>
      <c r="S13" s="13">
        <f>IF(H13="","",IFERROR(ROUND(H13/R13,2),"—"))</f>
      </c>
      <c r="T13" s="4">
        <f>IF(H13="","",IF(S13="—","—",IF(S13&gt;=1.5,"🟢 Winner",IF(S13&lt;=0.5,"🔴 Flop","Normal"))))</f>
      </c>
      <c r="U13" s="14">
        <f>IF(I13="","",IF(I13&gt;1,I13/100,I13))</f>
      </c>
      <c r="V13" s="4">
        <f>IF((COUNTIF(Settings!$D$5:$D$34,C13)+(C13=""))*(COUNTIF(Settings!$E$5:$E$34,D13)+(D13=""))*(COUNTIF(Settings!$F$5:$F$34,E13)+(E13="")),"","⚠ Not in Settings")</f>
      </c>
      <c r="W13" s="4">
        <f>IF(H13="","",H13+ROW()/10000)</f>
      </c>
      <c r="X13" s="4">
        <f>IF(OR(A13="",W13=""),"",(INT((A13-Settings!$B$6)/7)+1)*1E10+W13)</f>
      </c>
      <c r="Y13" s="15">
        <f>IF(B13="","",IF(COUNTIF(B$5:B13,B13)=1,ROW(),""))</f>
      </c>
      <c r="Z13" s="4">
        <f>IF(H13="","",B13&amp;"|"&amp;E13)</f>
      </c>
      <c r="AA13" s="16">
        <f>IF(B13="","",IF(COUNTIF(B13:B$1000,B13)=1,A13,""))</f>
      </c>
    </row>
    <row r="14" spans="1:27" x14ac:dyDescent="0.25">
      <c r="A14" s="6">
        <v>46289</v>
      </c>
      <c r="B14" s="5" t="s">
        <v>185</v>
      </c>
      <c r="C14" s="5" t="s">
        <v>126</v>
      </c>
      <c r="D14" s="5" t="s">
        <v>141</v>
      </c>
      <c r="E14" s="5" t="s">
        <v>128</v>
      </c>
      <c r="F14" s="5">
        <v>38</v>
      </c>
      <c r="G14" s="7">
        <v>708</v>
      </c>
      <c r="H14" s="7">
        <v>1180</v>
      </c>
      <c r="I14" s="8">
        <v>0.69</v>
      </c>
      <c r="J14" s="7">
        <v>71</v>
      </c>
      <c r="K14" s="7">
        <v>9</v>
      </c>
      <c r="L14" s="7">
        <v>5</v>
      </c>
      <c r="M14" s="7">
        <v>3</v>
      </c>
      <c r="N14" s="9"/>
      <c r="O14" s="10"/>
      <c r="P14" s="4">
        <f>IF(F14="","",INDEX(Settings!$H$5:$H$9,1+(F14&gt;15)+(F14&gt;30)+(F14&gt;45)+(F14&gt;60)))</f>
      </c>
      <c r="Q14" s="11">
        <f>IFERROR((J14+K14+L14)/H14,"")</f>
      </c>
      <c r="R14" s="12">
        <f>IF(H14="","",IF(COUNTIFS(E:E,E14,P:P,P14,H:H,"&gt;=0")-1&lt;3,"Need 3+",(SUMIFS(H:H,E:E,E14,P:P,P14)-H14)/(COUNTIFS(E:E,E14,P:P,P14,H:H,"&gt;=0")-1)))</f>
      </c>
      <c r="S14" s="13">
        <f>IF(H14="","",IFERROR(ROUND(H14/R14,2),"—"))</f>
      </c>
      <c r="T14" s="4">
        <f>IF(H14="","",IF(S14="—","—",IF(S14&gt;=1.5,"🟢 Winner",IF(S14&lt;=0.5,"🔴 Flop","Normal"))))</f>
      </c>
      <c r="U14" s="14">
        <f>IF(I14="","",IF(I14&gt;1,I14/100,I14))</f>
      </c>
      <c r="V14" s="4">
        <f>IF((COUNTIF(Settings!$D$5:$D$34,C14)+(C14=""))*(COUNTIF(Settings!$E$5:$E$34,D14)+(D14=""))*(COUNTIF(Settings!$F$5:$F$34,E14)+(E14="")),"","⚠ Not in Settings")</f>
      </c>
      <c r="W14" s="4">
        <f>IF(H14="","",H14+ROW()/10000)</f>
      </c>
      <c r="X14" s="4">
        <f>IF(OR(A14="",W14=""),"",(INT((A14-Settings!$B$6)/7)+1)*1E10+W14)</f>
      </c>
      <c r="Y14" s="15">
        <f>IF(B14="","",IF(COUNTIF(B$5:B14,B14)=1,ROW(),""))</f>
      </c>
      <c r="Z14" s="4">
        <f>IF(H14="","",B14&amp;"|"&amp;E14)</f>
      </c>
      <c r="AA14" s="16">
        <f>IF(B14="","",IF(COUNTIF(B14:B$1000,B14)=1,A14,""))</f>
      </c>
    </row>
    <row r="15" spans="1:27" x14ac:dyDescent="0.25">
      <c r="A15" s="6">
        <v>46289</v>
      </c>
      <c r="B15" s="5" t="s">
        <v>185</v>
      </c>
      <c r="C15" s="5" t="s">
        <v>126</v>
      </c>
      <c r="D15" s="5" t="s">
        <v>141</v>
      </c>
      <c r="E15" s="5" t="s">
        <v>135</v>
      </c>
      <c r="F15" s="5">
        <v>38</v>
      </c>
      <c r="G15" s="7">
        <v>756</v>
      </c>
      <c r="H15" s="7">
        <v>1260</v>
      </c>
      <c r="I15" s="8">
        <v>0.66</v>
      </c>
      <c r="J15" s="7">
        <v>76</v>
      </c>
      <c r="K15" s="7">
        <v>10</v>
      </c>
      <c r="L15" s="7">
        <v>5</v>
      </c>
      <c r="M15" s="7">
        <v>3</v>
      </c>
      <c r="N15" s="9"/>
      <c r="O15" s="10"/>
      <c r="P15" s="4">
        <f>IF(F15="","",INDEX(Settings!$H$5:$H$9,1+(F15&gt;15)+(F15&gt;30)+(F15&gt;45)+(F15&gt;60)))</f>
      </c>
      <c r="Q15" s="11">
        <f>IFERROR((J15+K15+L15)/H15,"")</f>
      </c>
      <c r="R15" s="12">
        <f>IF(H15="","",IF(COUNTIFS(E:E,E15,P:P,P15,H:H,"&gt;=0")-1&lt;3,"Need 3+",(SUMIFS(H:H,E:E,E15,P:P,P15)-H15)/(COUNTIFS(E:E,E15,P:P,P15,H:H,"&gt;=0")-1)))</f>
      </c>
      <c r="S15" s="13">
        <f>IF(H15="","",IFERROR(ROUND(H15/R15,2),"—"))</f>
      </c>
      <c r="T15" s="4">
        <f>IF(H15="","",IF(S15="—","—",IF(S15&gt;=1.5,"🟢 Winner",IF(S15&lt;=0.5,"🔴 Flop","Normal"))))</f>
      </c>
      <c r="U15" s="14">
        <f>IF(I15="","",IF(I15&gt;1,I15/100,I15))</f>
      </c>
      <c r="V15" s="4">
        <f>IF((COUNTIF(Settings!$D$5:$D$34,C15)+(C15=""))*(COUNTIF(Settings!$E$5:$E$34,D15)+(D15=""))*(COUNTIF(Settings!$F$5:$F$34,E15)+(E15="")),"","⚠ Not in Settings")</f>
      </c>
      <c r="W15" s="4">
        <f>IF(H15="","",H15+ROW()/10000)</f>
      </c>
      <c r="X15" s="4">
        <f>IF(OR(A15="",W15=""),"",(INT((A15-Settings!$B$6)/7)+1)*1E10+W15)</f>
      </c>
      <c r="Y15" s="15">
        <f>IF(B15="","",IF(COUNTIF(B$5:B15,B15)=1,ROW(),""))</f>
      </c>
      <c r="Z15" s="4">
        <f>IF(H15="","",B15&amp;"|"&amp;E15)</f>
      </c>
      <c r="AA15" s="16">
        <f>IF(B15="","",IF(COUNTIF(B15:B$1000,B15)=1,A15,""))</f>
      </c>
    </row>
    <row r="16" spans="1:27" x14ac:dyDescent="0.25">
      <c r="A16" s="6">
        <v>46289</v>
      </c>
      <c r="B16" s="5" t="s">
        <v>185</v>
      </c>
      <c r="C16" s="5" t="s">
        <v>126</v>
      </c>
      <c r="D16" s="5" t="s">
        <v>141</v>
      </c>
      <c r="E16" s="5" t="s">
        <v>142</v>
      </c>
      <c r="F16" s="5">
        <v>38</v>
      </c>
      <c r="G16" s="7">
        <v>384</v>
      </c>
      <c r="H16" s="7">
        <v>640</v>
      </c>
      <c r="I16" s="8">
        <v>0.63</v>
      </c>
      <c r="J16" s="7">
        <v>38</v>
      </c>
      <c r="K16" s="7">
        <v>5</v>
      </c>
      <c r="L16" s="7">
        <v>3</v>
      </c>
      <c r="M16" s="7">
        <v>2</v>
      </c>
      <c r="N16" s="9"/>
      <c r="O16" s="10"/>
      <c r="P16" s="4">
        <f>IF(F16="","",INDEX(Settings!$H$5:$H$9,1+(F16&gt;15)+(F16&gt;30)+(F16&gt;45)+(F16&gt;60)))</f>
      </c>
      <c r="Q16" s="11">
        <f>IFERROR((J16+K16+L16)/H16,"")</f>
      </c>
      <c r="R16" s="12">
        <f>IF(H16="","",IF(COUNTIFS(E:E,E16,P:P,P16,H:H,"&gt;=0")-1&lt;3,"Need 3+",(SUMIFS(H:H,E:E,E16,P:P,P16)-H16)/(COUNTIFS(E:E,E16,P:P,P16,H:H,"&gt;=0")-1)))</f>
      </c>
      <c r="S16" s="13">
        <f>IF(H16="","",IFERROR(ROUND(H16/R16,2),"—"))</f>
      </c>
      <c r="T16" s="4">
        <f>IF(H16="","",IF(S16="—","—",IF(S16&gt;=1.5,"🟢 Winner",IF(S16&lt;=0.5,"🔴 Flop","Normal"))))</f>
      </c>
      <c r="U16" s="14">
        <f>IF(I16="","",IF(I16&gt;1,I16/100,I16))</f>
      </c>
      <c r="V16" s="4">
        <f>IF((COUNTIF(Settings!$D$5:$D$34,C16)+(C16=""))*(COUNTIF(Settings!$E$5:$E$34,D16)+(D16=""))*(COUNTIF(Settings!$F$5:$F$34,E16)+(E16="")),"","⚠ Not in Settings")</f>
      </c>
      <c r="W16" s="4">
        <f>IF(H16="","",H16+ROW()/10000)</f>
      </c>
      <c r="X16" s="4">
        <f>IF(OR(A16="",W16=""),"",(INT((A16-Settings!$B$6)/7)+1)*1E10+W16)</f>
      </c>
      <c r="Y16" s="15">
        <f>IF(B16="","",IF(COUNTIF(B$5:B16,B16)=1,ROW(),""))</f>
      </c>
      <c r="Z16" s="4">
        <f>IF(H16="","",B16&amp;"|"&amp;E16)</f>
      </c>
      <c r="AA16" s="16">
        <f>IF(B16="","",IF(COUNTIF(B16:B$1000,B16)=1,A16,""))</f>
      </c>
    </row>
    <row r="17" spans="1:27" x14ac:dyDescent="0.25">
      <c r="A17" s="6">
        <v>46290</v>
      </c>
      <c r="B17" s="5" t="s">
        <v>204</v>
      </c>
      <c r="C17" s="5" t="s">
        <v>133</v>
      </c>
      <c r="D17" s="5" t="s">
        <v>158</v>
      </c>
      <c r="E17" s="5" t="s">
        <v>128</v>
      </c>
      <c r="F17" s="5">
        <v>26</v>
      </c>
      <c r="G17" s="7">
        <v>588</v>
      </c>
      <c r="H17" s="7">
        <v>980</v>
      </c>
      <c r="I17" s="8">
        <v>0.8</v>
      </c>
      <c r="J17" s="7">
        <v>59</v>
      </c>
      <c r="K17" s="7">
        <v>8</v>
      </c>
      <c r="L17" s="7">
        <v>4</v>
      </c>
      <c r="M17" s="7">
        <v>2</v>
      </c>
      <c r="N17" s="9"/>
      <c r="O17" s="10"/>
      <c r="P17" s="4">
        <f>IF(F17="","",INDEX(Settings!$H$5:$H$9,1+(F17&gt;15)+(F17&gt;30)+(F17&gt;45)+(F17&gt;60)))</f>
      </c>
      <c r="Q17" s="11">
        <f>IFERROR((J17+K17+L17)/H17,"")</f>
      </c>
      <c r="R17" s="12">
        <f>IF(H17="","",IF(COUNTIFS(E:E,E17,P:P,P17,H:H,"&gt;=0")-1&lt;3,"Need 3+",(SUMIFS(H:H,E:E,E17,P:P,P17)-H17)/(COUNTIFS(E:E,E17,P:P,P17,H:H,"&gt;=0")-1)))</f>
      </c>
      <c r="S17" s="13">
        <f>IF(H17="","",IFERROR(ROUND(H17/R17,2),"—"))</f>
      </c>
      <c r="T17" s="4">
        <f>IF(H17="","",IF(S17="—","—",IF(S17&gt;=1.5,"🟢 Winner",IF(S17&lt;=0.5,"🔴 Flop","Normal"))))</f>
      </c>
      <c r="U17" s="14">
        <f>IF(I17="","",IF(I17&gt;1,I17/100,I17))</f>
      </c>
      <c r="V17" s="4">
        <f>IF((COUNTIF(Settings!$D$5:$D$34,C17)+(C17=""))*(COUNTIF(Settings!$E$5:$E$34,D17)+(D17=""))*(COUNTIF(Settings!$F$5:$F$34,E17)+(E17="")),"","⚠ Not in Settings")</f>
      </c>
      <c r="W17" s="4">
        <f>IF(H17="","",H17+ROW()/10000)</f>
      </c>
      <c r="X17" s="4">
        <f>IF(OR(A17="",W17=""),"",(INT((A17-Settings!$B$6)/7)+1)*1E10+W17)</f>
      </c>
      <c r="Y17" s="15">
        <f>IF(B17="","",IF(COUNTIF(B$5:B17,B17)=1,ROW(),""))</f>
      </c>
      <c r="Z17" s="4">
        <f>IF(H17="","",B17&amp;"|"&amp;E17)</f>
      </c>
      <c r="AA17" s="16">
        <f>IF(B17="","",IF(COUNTIF(B17:B$1000,B17)=1,A17,""))</f>
      </c>
    </row>
    <row r="18" spans="1:27" x14ac:dyDescent="0.25">
      <c r="A18" s="6">
        <v>46290</v>
      </c>
      <c r="B18" s="5" t="s">
        <v>204</v>
      </c>
      <c r="C18" s="5" t="s">
        <v>133</v>
      </c>
      <c r="D18" s="5" t="s">
        <v>158</v>
      </c>
      <c r="E18" s="5" t="s">
        <v>135</v>
      </c>
      <c r="F18" s="5">
        <v>26</v>
      </c>
      <c r="G18" s="7">
        <v>990</v>
      </c>
      <c r="H18" s="7">
        <v>1650</v>
      </c>
      <c r="I18" s="8">
        <v>0.77</v>
      </c>
      <c r="J18" s="7">
        <v>99</v>
      </c>
      <c r="K18" s="7">
        <v>13</v>
      </c>
      <c r="L18" s="7">
        <v>7</v>
      </c>
      <c r="M18" s="7">
        <v>4</v>
      </c>
      <c r="N18" s="9"/>
      <c r="O18" s="10"/>
      <c r="P18" s="4">
        <f>IF(F18="","",INDEX(Settings!$H$5:$H$9,1+(F18&gt;15)+(F18&gt;30)+(F18&gt;45)+(F18&gt;60)))</f>
      </c>
      <c r="Q18" s="11">
        <f>IFERROR((J18+K18+L18)/H18,"")</f>
      </c>
      <c r="R18" s="12">
        <f>IF(H18="","",IF(COUNTIFS(E:E,E18,P:P,P18,H:H,"&gt;=0")-1&lt;3,"Need 3+",(SUMIFS(H:H,E:E,E18,P:P,P18)-H18)/(COUNTIFS(E:E,E18,P:P,P18,H:H,"&gt;=0")-1)))</f>
      </c>
      <c r="S18" s="13">
        <f>IF(H18="","",IFERROR(ROUND(H18/R18,2),"—"))</f>
      </c>
      <c r="T18" s="4">
        <f>IF(H18="","",IF(S18="—","—",IF(S18&gt;=1.5,"🟢 Winner",IF(S18&lt;=0.5,"🔴 Flop","Normal"))))</f>
      </c>
      <c r="U18" s="14">
        <f>IF(I18="","",IF(I18&gt;1,I18/100,I18))</f>
      </c>
      <c r="V18" s="4">
        <f>IF((COUNTIF(Settings!$D$5:$D$34,C18)+(C18=""))*(COUNTIF(Settings!$E$5:$E$34,D18)+(D18=""))*(COUNTIF(Settings!$F$5:$F$34,E18)+(E18="")),"","⚠ Not in Settings")</f>
      </c>
      <c r="W18" s="4">
        <f>IF(H18="","",H18+ROW()/10000)</f>
      </c>
      <c r="X18" s="4">
        <f>IF(OR(A18="",W18=""),"",(INT((A18-Settings!$B$6)/7)+1)*1E10+W18)</f>
      </c>
      <c r="Y18" s="15">
        <f>IF(B18="","",IF(COUNTIF(B$5:B18,B18)=1,ROW(),""))</f>
      </c>
      <c r="Z18" s="4">
        <f>IF(H18="","",B18&amp;"|"&amp;E18)</f>
      </c>
      <c r="AA18" s="16">
        <f>IF(B18="","",IF(COUNTIF(B18:B$1000,B18)=1,A18,""))</f>
      </c>
    </row>
    <row r="19" spans="1:27" x14ac:dyDescent="0.25">
      <c r="A19" s="6">
        <v>46290</v>
      </c>
      <c r="B19" s="5" t="s">
        <v>204</v>
      </c>
      <c r="C19" s="5" t="s">
        <v>133</v>
      </c>
      <c r="D19" s="5" t="s">
        <v>158</v>
      </c>
      <c r="E19" s="5" t="s">
        <v>142</v>
      </c>
      <c r="F19" s="5">
        <v>26</v>
      </c>
      <c r="G19" s="7">
        <v>414</v>
      </c>
      <c r="H19" s="7">
        <v>690</v>
      </c>
      <c r="I19" s="8">
        <v>0.73</v>
      </c>
      <c r="J19" s="7">
        <v>41</v>
      </c>
      <c r="K19" s="7">
        <v>6</v>
      </c>
      <c r="L19" s="7">
        <v>3</v>
      </c>
      <c r="M19" s="7">
        <v>2</v>
      </c>
      <c r="N19" s="9"/>
      <c r="O19" s="10"/>
      <c r="P19" s="4">
        <f>IF(F19="","",INDEX(Settings!$H$5:$H$9,1+(F19&gt;15)+(F19&gt;30)+(F19&gt;45)+(F19&gt;60)))</f>
      </c>
      <c r="Q19" s="11">
        <f>IFERROR((J19+K19+L19)/H19,"")</f>
      </c>
      <c r="R19" s="12">
        <f>IF(H19="","",IF(COUNTIFS(E:E,E19,P:P,P19,H:H,"&gt;=0")-1&lt;3,"Need 3+",(SUMIFS(H:H,E:E,E19,P:P,P19)-H19)/(COUNTIFS(E:E,E19,P:P,P19,H:H,"&gt;=0")-1)))</f>
      </c>
      <c r="S19" s="13">
        <f>IF(H19="","",IFERROR(ROUND(H19/R19,2),"—"))</f>
      </c>
      <c r="T19" s="4">
        <f>IF(H19="","",IF(S19="—","—",IF(S19&gt;=1.5,"🟢 Winner",IF(S19&lt;=0.5,"🔴 Flop","Normal"))))</f>
      </c>
      <c r="U19" s="14">
        <f>IF(I19="","",IF(I19&gt;1,I19/100,I19))</f>
      </c>
      <c r="V19" s="4">
        <f>IF((COUNTIF(Settings!$D$5:$D$34,C19)+(C19=""))*(COUNTIF(Settings!$E$5:$E$34,D19)+(D19=""))*(COUNTIF(Settings!$F$5:$F$34,E19)+(E19="")),"","⚠ Not in Settings")</f>
      </c>
      <c r="W19" s="4">
        <f>IF(H19="","",H19+ROW()/10000)</f>
      </c>
      <c r="X19" s="4">
        <f>IF(OR(A19="",W19=""),"",(INT((A19-Settings!$B$6)/7)+1)*1E10+W19)</f>
      </c>
      <c r="Y19" s="15">
        <f>IF(B19="","",IF(COUNTIF(B$5:B19,B19)=1,ROW(),""))</f>
      </c>
      <c r="Z19" s="4">
        <f>IF(H19="","",B19&amp;"|"&amp;E19)</f>
      </c>
      <c r="AA19" s="16">
        <f>IF(B19="","",IF(COUNTIF(B19:B$1000,B19)=1,A19,""))</f>
      </c>
    </row>
    <row r="20" spans="1:27" x14ac:dyDescent="0.25">
      <c r="A20" s="6">
        <v>46291</v>
      </c>
      <c r="B20" s="5" t="s">
        <v>187</v>
      </c>
      <c r="C20" s="5" t="s">
        <v>126</v>
      </c>
      <c r="D20" s="5" t="s">
        <v>161</v>
      </c>
      <c r="E20" s="5" t="s">
        <v>128</v>
      </c>
      <c r="F20" s="5">
        <v>39</v>
      </c>
      <c r="G20" s="7">
        <v>852</v>
      </c>
      <c r="H20" s="7">
        <v>1420</v>
      </c>
      <c r="I20" s="8">
        <v>0.72</v>
      </c>
      <c r="J20" s="7">
        <v>85</v>
      </c>
      <c r="K20" s="7">
        <v>11</v>
      </c>
      <c r="L20" s="7">
        <v>6</v>
      </c>
      <c r="M20" s="7">
        <v>4</v>
      </c>
      <c r="N20" s="9"/>
      <c r="O20" s="10"/>
      <c r="P20" s="4">
        <f>IF(F20="","",INDEX(Settings!$H$5:$H$9,1+(F20&gt;15)+(F20&gt;30)+(F20&gt;45)+(F20&gt;60)))</f>
      </c>
      <c r="Q20" s="11">
        <f>IFERROR((J20+K20+L20)/H20,"")</f>
      </c>
      <c r="R20" s="12">
        <f>IF(H20="","",IF(COUNTIFS(E:E,E20,P:P,P20,H:H,"&gt;=0")-1&lt;3,"Need 3+",(SUMIFS(H:H,E:E,E20,P:P,P20)-H20)/(COUNTIFS(E:E,E20,P:P,P20,H:H,"&gt;=0")-1)))</f>
      </c>
      <c r="S20" s="13">
        <f>IF(H20="","",IFERROR(ROUND(H20/R20,2),"—"))</f>
      </c>
      <c r="T20" s="4">
        <f>IF(H20="","",IF(S20="—","—",IF(S20&gt;=1.5,"🟢 Winner",IF(S20&lt;=0.5,"🔴 Flop","Normal"))))</f>
      </c>
      <c r="U20" s="14">
        <f>IF(I20="","",IF(I20&gt;1,I20/100,I20))</f>
      </c>
      <c r="V20" s="4">
        <f>IF((COUNTIF(Settings!$D$5:$D$34,C20)+(C20=""))*(COUNTIF(Settings!$E$5:$E$34,D20)+(D20=""))*(COUNTIF(Settings!$F$5:$F$34,E20)+(E20="")),"","⚠ Not in Settings")</f>
      </c>
      <c r="W20" s="4">
        <f>IF(H20="","",H20+ROW()/10000)</f>
      </c>
      <c r="X20" s="4">
        <f>IF(OR(A20="",W20=""),"",(INT((A20-Settings!$B$6)/7)+1)*1E10+W20)</f>
      </c>
      <c r="Y20" s="15">
        <f>IF(B20="","",IF(COUNTIF(B$5:B20,B20)=1,ROW(),""))</f>
      </c>
      <c r="Z20" s="4">
        <f>IF(H20="","",B20&amp;"|"&amp;E20)</f>
      </c>
      <c r="AA20" s="16">
        <f>IF(B20="","",IF(COUNTIF(B20:B$1000,B20)=1,A20,""))</f>
      </c>
    </row>
    <row r="21" spans="1:27" x14ac:dyDescent="0.25">
      <c r="A21" s="6">
        <v>46291</v>
      </c>
      <c r="B21" s="5" t="s">
        <v>187</v>
      </c>
      <c r="C21" s="5" t="s">
        <v>126</v>
      </c>
      <c r="D21" s="5" t="s">
        <v>161</v>
      </c>
      <c r="E21" s="5" t="s">
        <v>135</v>
      </c>
      <c r="F21" s="5">
        <v>39</v>
      </c>
      <c r="G21" s="7">
        <v>1788</v>
      </c>
      <c r="H21" s="7">
        <v>2980</v>
      </c>
      <c r="I21" s="8">
        <v>0.76</v>
      </c>
      <c r="J21" s="7">
        <v>179</v>
      </c>
      <c r="K21" s="7">
        <v>24</v>
      </c>
      <c r="L21" s="7">
        <v>12</v>
      </c>
      <c r="M21" s="7">
        <v>7</v>
      </c>
      <c r="N21" s="9"/>
      <c r="O21" s="10"/>
      <c r="P21" s="4">
        <f>IF(F21="","",INDEX(Settings!$H$5:$H$9,1+(F21&gt;15)+(F21&gt;30)+(F21&gt;45)+(F21&gt;60)))</f>
      </c>
      <c r="Q21" s="11">
        <f>IFERROR((J21+K21+L21)/H21,"")</f>
      </c>
      <c r="R21" s="12">
        <f>IF(H21="","",IF(COUNTIFS(E:E,E21,P:P,P21,H:H,"&gt;=0")-1&lt;3,"Need 3+",(SUMIFS(H:H,E:E,E21,P:P,P21)-H21)/(COUNTIFS(E:E,E21,P:P,P21,H:H,"&gt;=0")-1)))</f>
      </c>
      <c r="S21" s="13">
        <f>IF(H21="","",IFERROR(ROUND(H21/R21,2),"—"))</f>
      </c>
      <c r="T21" s="4">
        <f>IF(H21="","",IF(S21="—","—",IF(S21&gt;=1.5,"🟢 Winner",IF(S21&lt;=0.5,"🔴 Flop","Normal"))))</f>
      </c>
      <c r="U21" s="14">
        <f>IF(I21="","",IF(I21&gt;1,I21/100,I21))</f>
      </c>
      <c r="V21" s="4">
        <f>IF((COUNTIF(Settings!$D$5:$D$34,C21)+(C21=""))*(COUNTIF(Settings!$E$5:$E$34,D21)+(D21=""))*(COUNTIF(Settings!$F$5:$F$34,E21)+(E21="")),"","⚠ Not in Settings")</f>
      </c>
      <c r="W21" s="4">
        <f>IF(H21="","",H21+ROW()/10000)</f>
      </c>
      <c r="X21" s="4">
        <f>IF(OR(A21="",W21=""),"",(INT((A21-Settings!$B$6)/7)+1)*1E10+W21)</f>
      </c>
      <c r="Y21" s="15">
        <f>IF(B21="","",IF(COUNTIF(B$5:B21,B21)=1,ROW(),""))</f>
      </c>
      <c r="Z21" s="4">
        <f>IF(H21="","",B21&amp;"|"&amp;E21)</f>
      </c>
      <c r="AA21" s="16">
        <f>IF(B21="","",IF(COUNTIF(B21:B$1000,B21)=1,A21,""))</f>
      </c>
    </row>
    <row r="22" spans="1:27" x14ac:dyDescent="0.25">
      <c r="A22" s="6">
        <v>46291</v>
      </c>
      <c r="B22" s="5" t="s">
        <v>187</v>
      </c>
      <c r="C22" s="5" t="s">
        <v>126</v>
      </c>
      <c r="D22" s="5" t="s">
        <v>161</v>
      </c>
      <c r="E22" s="5" t="s">
        <v>142</v>
      </c>
      <c r="F22" s="5">
        <v>39</v>
      </c>
      <c r="G22" s="7">
        <v>588</v>
      </c>
      <c r="H22" s="7">
        <v>980</v>
      </c>
      <c r="I22" s="8">
        <v>0.68</v>
      </c>
      <c r="J22" s="7">
        <v>59</v>
      </c>
      <c r="K22" s="7">
        <v>8</v>
      </c>
      <c r="L22" s="7">
        <v>4</v>
      </c>
      <c r="M22" s="7">
        <v>2</v>
      </c>
      <c r="N22" s="9"/>
      <c r="O22" s="10"/>
      <c r="P22" s="4">
        <f>IF(F22="","",INDEX(Settings!$H$5:$H$9,1+(F22&gt;15)+(F22&gt;30)+(F22&gt;45)+(F22&gt;60)))</f>
      </c>
      <c r="Q22" s="11">
        <f>IFERROR((J22+K22+L22)/H22,"")</f>
      </c>
      <c r="R22" s="12">
        <f>IF(H22="","",IF(COUNTIFS(E:E,E22,P:P,P22,H:H,"&gt;=0")-1&lt;3,"Need 3+",(SUMIFS(H:H,E:E,E22,P:P,P22)-H22)/(COUNTIFS(E:E,E22,P:P,P22,H:H,"&gt;=0")-1)))</f>
      </c>
      <c r="S22" s="13">
        <f>IF(H22="","",IFERROR(ROUND(H22/R22,2),"—"))</f>
      </c>
      <c r="T22" s="4">
        <f>IF(H22="","",IF(S22="—","—",IF(S22&gt;=1.5,"🟢 Winner",IF(S22&lt;=0.5,"🔴 Flop","Normal"))))</f>
      </c>
      <c r="U22" s="14">
        <f>IF(I22="","",IF(I22&gt;1,I22/100,I22))</f>
      </c>
      <c r="V22" s="4">
        <f>IF((COUNTIF(Settings!$D$5:$D$34,C22)+(C22=""))*(COUNTIF(Settings!$E$5:$E$34,D22)+(D22=""))*(COUNTIF(Settings!$F$5:$F$34,E22)+(E22="")),"","⚠ Not in Settings")</f>
      </c>
      <c r="W22" s="4">
        <f>IF(H22="","",H22+ROW()/10000)</f>
      </c>
      <c r="X22" s="4">
        <f>IF(OR(A22="",W22=""),"",(INT((A22-Settings!$B$6)/7)+1)*1E10+W22)</f>
      </c>
      <c r="Y22" s="15">
        <f>IF(B22="","",IF(COUNTIF(B$5:B22,B22)=1,ROW(),""))</f>
      </c>
      <c r="Z22" s="4">
        <f>IF(H22="","",B22&amp;"|"&amp;E22)</f>
      </c>
      <c r="AA22" s="16">
        <f>IF(B22="","",IF(COUNTIF(B22:B$1000,B22)=1,A22,""))</f>
      </c>
    </row>
    <row r="23" spans="1:27" x14ac:dyDescent="0.25">
      <c r="A23" s="6">
        <v>46293</v>
      </c>
      <c r="B23" s="5" t="s">
        <v>206</v>
      </c>
      <c r="C23" s="5" t="s">
        <v>133</v>
      </c>
      <c r="D23" s="5" t="s">
        <v>158</v>
      </c>
      <c r="E23" s="5" t="s">
        <v>128</v>
      </c>
      <c r="F23" s="5">
        <v>24</v>
      </c>
      <c r="G23" s="7">
        <v>312</v>
      </c>
      <c r="H23" s="7">
        <v>520</v>
      </c>
      <c r="I23" s="8">
        <v>0.7</v>
      </c>
      <c r="J23" s="7">
        <v>31</v>
      </c>
      <c r="K23" s="7">
        <v>4</v>
      </c>
      <c r="L23" s="7">
        <v>2</v>
      </c>
      <c r="M23" s="7">
        <v>1</v>
      </c>
      <c r="N23" s="9"/>
      <c r="O23" s="10"/>
      <c r="P23" s="4">
        <f>IF(F23="","",INDEX(Settings!$H$5:$H$9,1+(F23&gt;15)+(F23&gt;30)+(F23&gt;45)+(F23&gt;60)))</f>
      </c>
      <c r="Q23" s="11">
        <f>IFERROR((J23+K23+L23)/H23,"")</f>
      </c>
      <c r="R23" s="12">
        <f>IF(H23="","",IF(COUNTIFS(E:E,E23,P:P,P23,H:H,"&gt;=0")-1&lt;3,"Need 3+",(SUMIFS(H:H,E:E,E23,P:P,P23)-H23)/(COUNTIFS(E:E,E23,P:P,P23,H:H,"&gt;=0")-1)))</f>
      </c>
      <c r="S23" s="13">
        <f>IF(H23="","",IFERROR(ROUND(H23/R23,2),"—"))</f>
      </c>
      <c r="T23" s="4">
        <f>IF(H23="","",IF(S23="—","—",IF(S23&gt;=1.5,"🟢 Winner",IF(S23&lt;=0.5,"🔴 Flop","Normal"))))</f>
      </c>
      <c r="U23" s="14">
        <f>IF(I23="","",IF(I23&gt;1,I23/100,I23))</f>
      </c>
      <c r="V23" s="4">
        <f>IF((COUNTIF(Settings!$D$5:$D$34,C23)+(C23=""))*(COUNTIF(Settings!$E$5:$E$34,D23)+(D23=""))*(COUNTIF(Settings!$F$5:$F$34,E23)+(E23="")),"","⚠ Not in Settings")</f>
      </c>
      <c r="W23" s="4">
        <f>IF(H23="","",H23+ROW()/10000)</f>
      </c>
      <c r="X23" s="4">
        <f>IF(OR(A23="",W23=""),"",(INT((A23-Settings!$B$6)/7)+1)*1E10+W23)</f>
      </c>
      <c r="Y23" s="15">
        <f>IF(B23="","",IF(COUNTIF(B$5:B23,B23)=1,ROW(),""))</f>
      </c>
      <c r="Z23" s="4">
        <f>IF(H23="","",B23&amp;"|"&amp;E23)</f>
      </c>
      <c r="AA23" s="16">
        <f>IF(B23="","",IF(COUNTIF(B23:B$1000,B23)=1,A23,""))</f>
      </c>
    </row>
    <row r="24" spans="1:27" x14ac:dyDescent="0.25">
      <c r="A24" s="6">
        <v>46293</v>
      </c>
      <c r="B24" s="5" t="s">
        <v>206</v>
      </c>
      <c r="C24" s="5" t="s">
        <v>133</v>
      </c>
      <c r="D24" s="5" t="s">
        <v>158</v>
      </c>
      <c r="E24" s="5" t="s">
        <v>135</v>
      </c>
      <c r="F24" s="5">
        <v>24</v>
      </c>
      <c r="G24" s="7">
        <v>2220</v>
      </c>
      <c r="H24" s="7">
        <v>3700</v>
      </c>
      <c r="I24" s="8">
        <v>0.84</v>
      </c>
      <c r="J24" s="7">
        <v>222</v>
      </c>
      <c r="K24" s="7">
        <v>30</v>
      </c>
      <c r="L24" s="7">
        <v>15</v>
      </c>
      <c r="M24" s="7">
        <v>9</v>
      </c>
      <c r="N24" s="9"/>
      <c r="O24" s="10"/>
      <c r="P24" s="4">
        <f>IF(F24="","",INDEX(Settings!$H$5:$H$9,1+(F24&gt;15)+(F24&gt;30)+(F24&gt;45)+(F24&gt;60)))</f>
      </c>
      <c r="Q24" s="11">
        <f>IFERROR((J24+K24+L24)/H24,"")</f>
      </c>
      <c r="R24" s="12">
        <f>IF(H24="","",IF(COUNTIFS(E:E,E24,P:P,P24,H:H,"&gt;=0")-1&lt;3,"Need 3+",(SUMIFS(H:H,E:E,E24,P:P,P24)-H24)/(COUNTIFS(E:E,E24,P:P,P24,H:H,"&gt;=0")-1)))</f>
      </c>
      <c r="S24" s="13">
        <f>IF(H24="","",IFERROR(ROUND(H24/R24,2),"—"))</f>
      </c>
      <c r="T24" s="4">
        <f>IF(H24="","",IF(S24="—","—",IF(S24&gt;=1.5,"🟢 Winner",IF(S24&lt;=0.5,"🔴 Flop","Normal"))))</f>
      </c>
      <c r="U24" s="14">
        <f>IF(I24="","",IF(I24&gt;1,I24/100,I24))</f>
      </c>
      <c r="V24" s="4">
        <f>IF((COUNTIF(Settings!$D$5:$D$34,C24)+(C24=""))*(COUNTIF(Settings!$E$5:$E$34,D24)+(D24=""))*(COUNTIF(Settings!$F$5:$F$34,E24)+(E24="")),"","⚠ Not in Settings")</f>
      </c>
      <c r="W24" s="4">
        <f>IF(H24="","",H24+ROW()/10000)</f>
      </c>
      <c r="X24" s="4">
        <f>IF(OR(A24="",W24=""),"",(INT((A24-Settings!$B$6)/7)+1)*1E10+W24)</f>
      </c>
      <c r="Y24" s="15">
        <f>IF(B24="","",IF(COUNTIF(B$5:B24,B24)=1,ROW(),""))</f>
      </c>
      <c r="Z24" s="4">
        <f>IF(H24="","",B24&amp;"|"&amp;E24)</f>
      </c>
      <c r="AA24" s="16">
        <f>IF(B24="","",IF(COUNTIF(B24:B$1000,B24)=1,A24,""))</f>
      </c>
    </row>
    <row r="25" spans="1:27" x14ac:dyDescent="0.25">
      <c r="A25" s="6">
        <v>46293</v>
      </c>
      <c r="B25" s="5" t="s">
        <v>206</v>
      </c>
      <c r="C25" s="5" t="s">
        <v>133</v>
      </c>
      <c r="D25" s="5" t="s">
        <v>158</v>
      </c>
      <c r="E25" s="5" t="s">
        <v>142</v>
      </c>
      <c r="F25" s="5">
        <v>24</v>
      </c>
      <c r="G25" s="7">
        <v>744</v>
      </c>
      <c r="H25" s="7">
        <v>1240</v>
      </c>
      <c r="I25" s="8">
        <v>0.78</v>
      </c>
      <c r="J25" s="7">
        <v>74</v>
      </c>
      <c r="K25" s="7">
        <v>10</v>
      </c>
      <c r="L25" s="7">
        <v>5</v>
      </c>
      <c r="M25" s="7">
        <v>3</v>
      </c>
      <c r="N25" s="9"/>
      <c r="O25" s="10"/>
      <c r="P25" s="4">
        <f>IF(F25="","",INDEX(Settings!$H$5:$H$9,1+(F25&gt;15)+(F25&gt;30)+(F25&gt;45)+(F25&gt;60)))</f>
      </c>
      <c r="Q25" s="11">
        <f>IFERROR((J25+K25+L25)/H25,"")</f>
      </c>
      <c r="R25" s="12">
        <f>IF(H25="","",IF(COUNTIFS(E:E,E25,P:P,P25,H:H,"&gt;=0")-1&lt;3,"Need 3+",(SUMIFS(H:H,E:E,E25,P:P,P25)-H25)/(COUNTIFS(E:E,E25,P:P,P25,H:H,"&gt;=0")-1)))</f>
      </c>
      <c r="S25" s="13">
        <f>IF(H25="","",IFERROR(ROUND(H25/R25,2),"—"))</f>
      </c>
      <c r="T25" s="4">
        <f>IF(H25="","",IF(S25="—","—",IF(S25&gt;=1.5,"🟢 Winner",IF(S25&lt;=0.5,"🔴 Flop","Normal"))))</f>
      </c>
      <c r="U25" s="14">
        <f>IF(I25="","",IF(I25&gt;1,I25/100,I25))</f>
      </c>
      <c r="V25" s="4">
        <f>IF((COUNTIF(Settings!$D$5:$D$34,C25)+(C25=""))*(COUNTIF(Settings!$E$5:$E$34,D25)+(D25=""))*(COUNTIF(Settings!$F$5:$F$34,E25)+(E25="")),"","⚠ Not in Settings")</f>
      </c>
      <c r="W25" s="4">
        <f>IF(H25="","",H25+ROW()/10000)</f>
      </c>
      <c r="X25" s="4">
        <f>IF(OR(A25="",W25=""),"",(INT((A25-Settings!$B$6)/7)+1)*1E10+W25)</f>
      </c>
      <c r="Y25" s="15">
        <f>IF(B25="","",IF(COUNTIF(B$5:B25,B25)=1,ROW(),""))</f>
      </c>
      <c r="Z25" s="4">
        <f>IF(H25="","",B25&amp;"|"&amp;E25)</f>
      </c>
      <c r="AA25" s="16">
        <f>IF(B25="","",IF(COUNTIF(B25:B$1000,B25)=1,A25,""))</f>
      </c>
    </row>
    <row r="26" spans="1:27" x14ac:dyDescent="0.25">
      <c r="A26" s="6">
        <v>46294</v>
      </c>
      <c r="B26" s="5" t="s">
        <v>207</v>
      </c>
      <c r="C26" s="5" t="s">
        <v>133</v>
      </c>
      <c r="D26" s="5" t="s">
        <v>134</v>
      </c>
      <c r="E26" s="5" t="s">
        <v>128</v>
      </c>
      <c r="F26" s="5">
        <v>27</v>
      </c>
      <c r="G26" s="7">
        <v>1740</v>
      </c>
      <c r="H26" s="7">
        <v>2900</v>
      </c>
      <c r="I26" s="8">
        <v>0.82</v>
      </c>
      <c r="J26" s="7">
        <v>174</v>
      </c>
      <c r="K26" s="7">
        <v>23</v>
      </c>
      <c r="L26" s="7">
        <v>12</v>
      </c>
      <c r="M26" s="7">
        <v>7</v>
      </c>
      <c r="N26" s="9">
        <v>15</v>
      </c>
      <c r="O26" s="10">
        <v>6</v>
      </c>
      <c r="P26" s="4">
        <f>IF(F26="","",INDEX(Settings!$H$5:$H$9,1+(F26&gt;15)+(F26&gt;30)+(F26&gt;45)+(F26&gt;60)))</f>
      </c>
      <c r="Q26" s="11">
        <f>IFERROR((J26+K26+L26)/H26,"")</f>
      </c>
      <c r="R26" s="12">
        <f>IF(H26="","",IF(COUNTIFS(E:E,E26,P:P,P26,H:H,"&gt;=0")-1&lt;3,"Need 3+",(SUMIFS(H:H,E:E,E26,P:P,P26)-H26)/(COUNTIFS(E:E,E26,P:P,P26,H:H,"&gt;=0")-1)))</f>
      </c>
      <c r="S26" s="13">
        <f>IF(H26="","",IFERROR(ROUND(H26/R26,2),"—"))</f>
      </c>
      <c r="T26" s="4">
        <f>IF(H26="","",IF(S26="—","—",IF(S26&gt;=1.5,"🟢 Winner",IF(S26&lt;=0.5,"🔴 Flop","Normal"))))</f>
      </c>
      <c r="U26" s="14">
        <f>IF(I26="","",IF(I26&gt;1,I26/100,I26))</f>
      </c>
      <c r="V26" s="4">
        <f>IF((COUNTIF(Settings!$D$5:$D$34,C26)+(C26=""))*(COUNTIF(Settings!$E$5:$E$34,D26)+(D26=""))*(COUNTIF(Settings!$F$5:$F$34,E26)+(E26="")),"","⚠ Not in Settings")</f>
      </c>
      <c r="W26" s="4">
        <f>IF(H26="","",H26+ROW()/10000)</f>
      </c>
      <c r="X26" s="4">
        <f>IF(OR(A26="",W26=""),"",(INT((A26-Settings!$B$6)/7)+1)*1E10+W26)</f>
      </c>
      <c r="Y26" s="15">
        <f>IF(B26="","",IF(COUNTIF(B$5:B26,B26)=1,ROW(),""))</f>
      </c>
      <c r="Z26" s="4">
        <f>IF(H26="","",B26&amp;"|"&amp;E26)</f>
      </c>
      <c r="AA26" s="16">
        <f>IF(B26="","",IF(COUNTIF(B26:B$1000,B26)=1,A26,""))</f>
      </c>
    </row>
    <row r="27" spans="1:27" x14ac:dyDescent="0.25">
      <c r="A27" s="6">
        <v>46294</v>
      </c>
      <c r="B27" s="5" t="s">
        <v>207</v>
      </c>
      <c r="C27" s="5" t="s">
        <v>133</v>
      </c>
      <c r="D27" s="5" t="s">
        <v>134</v>
      </c>
      <c r="E27" s="5" t="s">
        <v>135</v>
      </c>
      <c r="F27" s="5">
        <v>27</v>
      </c>
      <c r="G27" s="7">
        <v>600</v>
      </c>
      <c r="H27" s="7">
        <v>1000</v>
      </c>
      <c r="I27" s="8">
        <v>0.71</v>
      </c>
      <c r="J27" s="7">
        <v>60</v>
      </c>
      <c r="K27" s="7">
        <v>8</v>
      </c>
      <c r="L27" s="7">
        <v>4</v>
      </c>
      <c r="M27" s="7">
        <v>3</v>
      </c>
      <c r="N27" s="9"/>
      <c r="O27" s="10"/>
      <c r="P27" s="4">
        <f>IF(F27="","",INDEX(Settings!$H$5:$H$9,1+(F27&gt;15)+(F27&gt;30)+(F27&gt;45)+(F27&gt;60)))</f>
      </c>
      <c r="Q27" s="11">
        <f>IFERROR((J27+K27+L27)/H27,"")</f>
      </c>
      <c r="R27" s="12">
        <f>IF(H27="","",IF(COUNTIFS(E:E,E27,P:P,P27,H:H,"&gt;=0")-1&lt;3,"Need 3+",(SUMIFS(H:H,E:E,E27,P:P,P27)-H27)/(COUNTIFS(E:E,E27,P:P,P27,H:H,"&gt;=0")-1)))</f>
      </c>
      <c r="S27" s="13">
        <f>IF(H27="","",IFERROR(ROUND(H27/R27,2),"—"))</f>
      </c>
      <c r="T27" s="4">
        <f>IF(H27="","",IF(S27="—","—",IF(S27&gt;=1.5,"🟢 Winner",IF(S27&lt;=0.5,"🔴 Flop","Normal"))))</f>
      </c>
      <c r="U27" s="14">
        <f>IF(I27="","",IF(I27&gt;1,I27/100,I27))</f>
      </c>
      <c r="V27" s="4">
        <f>IF((COUNTIF(Settings!$D$5:$D$34,C27)+(C27=""))*(COUNTIF(Settings!$E$5:$E$34,D27)+(D27=""))*(COUNTIF(Settings!$F$5:$F$34,E27)+(E27="")),"","⚠ Not in Settings")</f>
      </c>
      <c r="W27" s="4">
        <f>IF(H27="","",H27+ROW()/10000)</f>
      </c>
      <c r="X27" s="4">
        <f>IF(OR(A27="",W27=""),"",(INT((A27-Settings!$B$6)/7)+1)*1E10+W27)</f>
      </c>
      <c r="Y27" s="15">
        <f>IF(B27="","",IF(COUNTIF(B$5:B27,B27)=1,ROW(),""))</f>
      </c>
      <c r="Z27" s="4">
        <f>IF(H27="","",B27&amp;"|"&amp;E27)</f>
      </c>
      <c r="AA27" s="16">
        <f>IF(B27="","",IF(COUNTIF(B27:B$1000,B27)=1,A27,""))</f>
      </c>
    </row>
    <row r="28" spans="1:27" x14ac:dyDescent="0.25">
      <c r="A28" s="6">
        <v>46294</v>
      </c>
      <c r="B28" s="5" t="s">
        <v>207</v>
      </c>
      <c r="C28" s="5" t="s">
        <v>133</v>
      </c>
      <c r="D28" s="5" t="s">
        <v>134</v>
      </c>
      <c r="E28" s="5" t="s">
        <v>142</v>
      </c>
      <c r="F28" s="5">
        <v>27</v>
      </c>
      <c r="G28" s="7">
        <v>528</v>
      </c>
      <c r="H28" s="7">
        <v>880</v>
      </c>
      <c r="I28" s="8">
        <v>0.76</v>
      </c>
      <c r="J28" s="7">
        <v>53</v>
      </c>
      <c r="K28" s="7">
        <v>7</v>
      </c>
      <c r="L28" s="7">
        <v>4</v>
      </c>
      <c r="M28" s="7">
        <v>2</v>
      </c>
      <c r="N28" s="9"/>
      <c r="O28" s="10"/>
      <c r="P28" s="4">
        <f>IF(F28="","",INDEX(Settings!$H$5:$H$9,1+(F28&gt;15)+(F28&gt;30)+(F28&gt;45)+(F28&gt;60)))</f>
      </c>
      <c r="Q28" s="11">
        <f>IFERROR((J28+K28+L28)/H28,"")</f>
      </c>
      <c r="R28" s="12">
        <f>IF(H28="","",IF(COUNTIFS(E:E,E28,P:P,P28,H:H,"&gt;=0")-1&lt;3,"Need 3+",(SUMIFS(H:H,E:E,E28,P:P,P28)-H28)/(COUNTIFS(E:E,E28,P:P,P28,H:H,"&gt;=0")-1)))</f>
      </c>
      <c r="S28" s="13">
        <f>IF(H28="","",IFERROR(ROUND(H28/R28,2),"—"))</f>
      </c>
      <c r="T28" s="4">
        <f>IF(H28="","",IF(S28="—","—",IF(S28&gt;=1.5,"🟢 Winner",IF(S28&lt;=0.5,"🔴 Flop","Normal"))))</f>
      </c>
      <c r="U28" s="14">
        <f>IF(I28="","",IF(I28&gt;1,I28/100,I28))</f>
      </c>
      <c r="V28" s="4">
        <f>IF((COUNTIF(Settings!$D$5:$D$34,C28)+(C28=""))*(COUNTIF(Settings!$E$5:$E$34,D28)+(D28=""))*(COUNTIF(Settings!$F$5:$F$34,E28)+(E28="")),"","⚠ Not in Settings")</f>
      </c>
      <c r="W28" s="4">
        <f>IF(H28="","",H28+ROW()/10000)</f>
      </c>
      <c r="X28" s="4">
        <f>IF(OR(A28="",W28=""),"",(INT((A28-Settings!$B$6)/7)+1)*1E10+W28)</f>
      </c>
      <c r="Y28" s="15">
        <f>IF(B28="","",IF(COUNTIF(B$5:B28,B28)=1,ROW(),""))</f>
      </c>
      <c r="Z28" s="4">
        <f>IF(H28="","",B28&amp;"|"&amp;E28)</f>
      </c>
      <c r="AA28" s="16">
        <f>IF(B28="","",IF(COUNTIF(B28:B$1000,B28)=1,A28,""))</f>
      </c>
    </row>
    <row r="29" spans="1:27" x14ac:dyDescent="0.25">
      <c r="A29" s="6">
        <v>46295</v>
      </c>
      <c r="B29" s="5" t="s">
        <v>188</v>
      </c>
      <c r="C29" s="5" t="s">
        <v>126</v>
      </c>
      <c r="D29" s="5" t="s">
        <v>127</v>
      </c>
      <c r="E29" s="5" t="s">
        <v>128</v>
      </c>
      <c r="F29" s="5">
        <v>43</v>
      </c>
      <c r="G29" s="7">
        <v>1134</v>
      </c>
      <c r="H29" s="7">
        <v>1890</v>
      </c>
      <c r="I29" s="8">
        <v>0.7</v>
      </c>
      <c r="J29" s="7">
        <v>113</v>
      </c>
      <c r="K29" s="7">
        <v>15</v>
      </c>
      <c r="L29" s="7">
        <v>8</v>
      </c>
      <c r="M29" s="7">
        <v>5</v>
      </c>
      <c r="N29" s="9"/>
      <c r="O29" s="10"/>
      <c r="P29" s="4">
        <f>IF(F29="","",INDEX(Settings!$H$5:$H$9,1+(F29&gt;15)+(F29&gt;30)+(F29&gt;45)+(F29&gt;60)))</f>
      </c>
      <c r="Q29" s="11">
        <f>IFERROR((J29+K29+L29)/H29,"")</f>
      </c>
      <c r="R29" s="12">
        <f>IF(H29="","",IF(COUNTIFS(E:E,E29,P:P,P29,H:H,"&gt;=0")-1&lt;3,"Need 3+",(SUMIFS(H:H,E:E,E29,P:P,P29)-H29)/(COUNTIFS(E:E,E29,P:P,P29,H:H,"&gt;=0")-1)))</f>
      </c>
      <c r="S29" s="13">
        <f>IF(H29="","",IFERROR(ROUND(H29/R29,2),"—"))</f>
      </c>
      <c r="T29" s="4">
        <f>IF(H29="","",IF(S29="—","—",IF(S29&gt;=1.5,"🟢 Winner",IF(S29&lt;=0.5,"🔴 Flop","Normal"))))</f>
      </c>
      <c r="U29" s="14">
        <f>IF(I29="","",IF(I29&gt;1,I29/100,I29))</f>
      </c>
      <c r="V29" s="4">
        <f>IF((COUNTIF(Settings!$D$5:$D$34,C29)+(C29=""))*(COUNTIF(Settings!$E$5:$E$34,D29)+(D29=""))*(COUNTIF(Settings!$F$5:$F$34,E29)+(E29="")),"","⚠ Not in Settings")</f>
      </c>
      <c r="W29" s="4">
        <f>IF(H29="","",H29+ROW()/10000)</f>
      </c>
      <c r="X29" s="4">
        <f>IF(OR(A29="",W29=""),"",(INT((A29-Settings!$B$6)/7)+1)*1E10+W29)</f>
      </c>
      <c r="Y29" s="15">
        <f>IF(B29="","",IF(COUNTIF(B$5:B29,B29)=1,ROW(),""))</f>
      </c>
      <c r="Z29" s="4">
        <f>IF(H29="","",B29&amp;"|"&amp;E29)</f>
      </c>
      <c r="AA29" s="16">
        <f>IF(B29="","",IF(COUNTIF(B29:B$1000,B29)=1,A29,""))</f>
      </c>
    </row>
    <row r="30" spans="1:27" x14ac:dyDescent="0.25">
      <c r="A30" s="6">
        <v>46295</v>
      </c>
      <c r="B30" s="5" t="s">
        <v>188</v>
      </c>
      <c r="C30" s="5" t="s">
        <v>126</v>
      </c>
      <c r="D30" s="5" t="s">
        <v>127</v>
      </c>
      <c r="E30" s="5" t="s">
        <v>135</v>
      </c>
      <c r="F30" s="5">
        <v>43</v>
      </c>
      <c r="G30" s="7">
        <v>1110</v>
      </c>
      <c r="H30" s="7">
        <v>1850</v>
      </c>
      <c r="I30" s="8">
        <v>0.68</v>
      </c>
      <c r="J30" s="7">
        <v>111</v>
      </c>
      <c r="K30" s="7">
        <v>15</v>
      </c>
      <c r="L30" s="7">
        <v>7</v>
      </c>
      <c r="M30" s="7">
        <v>5</v>
      </c>
      <c r="N30" s="9"/>
      <c r="O30" s="10"/>
      <c r="P30" s="4">
        <f>IF(F30="","",INDEX(Settings!$H$5:$H$9,1+(F30&gt;15)+(F30&gt;30)+(F30&gt;45)+(F30&gt;60)))</f>
      </c>
      <c r="Q30" s="11">
        <f>IFERROR((J30+K30+L30)/H30,"")</f>
      </c>
      <c r="R30" s="12">
        <f>IF(H30="","",IF(COUNTIFS(E:E,E30,P:P,P30,H:H,"&gt;=0")-1&lt;3,"Need 3+",(SUMIFS(H:H,E:E,E30,P:P,P30)-H30)/(COUNTIFS(E:E,E30,P:P,P30,H:H,"&gt;=0")-1)))</f>
      </c>
      <c r="S30" s="13">
        <f>IF(H30="","",IFERROR(ROUND(H30/R30,2),"—"))</f>
      </c>
      <c r="T30" s="4">
        <f>IF(H30="","",IF(S30="—","—",IF(S30&gt;=1.5,"🟢 Winner",IF(S30&lt;=0.5,"🔴 Flop","Normal"))))</f>
      </c>
      <c r="U30" s="14">
        <f>IF(I30="","",IF(I30&gt;1,I30/100,I30))</f>
      </c>
      <c r="V30" s="4">
        <f>IF((COUNTIF(Settings!$D$5:$D$34,C30)+(C30=""))*(COUNTIF(Settings!$E$5:$E$34,D30)+(D30=""))*(COUNTIF(Settings!$F$5:$F$34,E30)+(E30="")),"","⚠ Not in Settings")</f>
      </c>
      <c r="W30" s="4">
        <f>IF(H30="","",H30+ROW()/10000)</f>
      </c>
      <c r="X30" s="4">
        <f>IF(OR(A30="",W30=""),"",(INT((A30-Settings!$B$6)/7)+1)*1E10+W30)</f>
      </c>
      <c r="Y30" s="15">
        <f>IF(B30="","",IF(COUNTIF(B$5:B30,B30)=1,ROW(),""))</f>
      </c>
      <c r="Z30" s="4">
        <f>IF(H30="","",B30&amp;"|"&amp;E30)</f>
      </c>
      <c r="AA30" s="16">
        <f>IF(B30="","",IF(COUNTIF(B30:B$1000,B30)=1,A30,""))</f>
      </c>
    </row>
    <row r="31" spans="1:27" x14ac:dyDescent="0.25">
      <c r="A31" s="6">
        <v>46295</v>
      </c>
      <c r="B31" s="5" t="s">
        <v>188</v>
      </c>
      <c r="C31" s="5" t="s">
        <v>126</v>
      </c>
      <c r="D31" s="5" t="s">
        <v>127</v>
      </c>
      <c r="E31" s="5" t="s">
        <v>142</v>
      </c>
      <c r="F31" s="5">
        <v>43</v>
      </c>
      <c r="G31" s="7">
        <v>726</v>
      </c>
      <c r="H31" s="7">
        <v>1210</v>
      </c>
      <c r="I31" s="8">
        <v>0.65</v>
      </c>
      <c r="J31" s="7">
        <v>73</v>
      </c>
      <c r="K31" s="7">
        <v>10</v>
      </c>
      <c r="L31" s="7">
        <v>5</v>
      </c>
      <c r="M31" s="7">
        <v>3</v>
      </c>
      <c r="N31" s="9"/>
      <c r="O31" s="10"/>
      <c r="P31" s="4">
        <f>IF(F31="","",INDEX(Settings!$H$5:$H$9,1+(F31&gt;15)+(F31&gt;30)+(F31&gt;45)+(F31&gt;60)))</f>
      </c>
      <c r="Q31" s="11">
        <f>IFERROR((J31+K31+L31)/H31,"")</f>
      </c>
      <c r="R31" s="12">
        <f>IF(H31="","",IF(COUNTIFS(E:E,E31,P:P,P31,H:H,"&gt;=0")-1&lt;3,"Need 3+",(SUMIFS(H:H,E:E,E31,P:P,P31)-H31)/(COUNTIFS(E:E,E31,P:P,P31,H:H,"&gt;=0")-1)))</f>
      </c>
      <c r="S31" s="13">
        <f>IF(H31="","",IFERROR(ROUND(H31/R31,2),"—"))</f>
      </c>
      <c r="T31" s="4">
        <f>IF(H31="","",IF(S31="—","—",IF(S31&gt;=1.5,"🟢 Winner",IF(S31&lt;=0.5,"🔴 Flop","Normal"))))</f>
      </c>
      <c r="U31" s="14">
        <f>IF(I31="","",IF(I31&gt;1,I31/100,I31))</f>
      </c>
      <c r="V31" s="4">
        <f>IF((COUNTIF(Settings!$D$5:$D$34,C31)+(C31=""))*(COUNTIF(Settings!$E$5:$E$34,D31)+(D31=""))*(COUNTIF(Settings!$F$5:$F$34,E31)+(E31="")),"","⚠ Not in Settings")</f>
      </c>
      <c r="W31" s="4">
        <f>IF(H31="","",H31+ROW()/10000)</f>
      </c>
      <c r="X31" s="4">
        <f>IF(OR(A31="",W31=""),"",(INT((A31-Settings!$B$6)/7)+1)*1E10+W31)</f>
      </c>
      <c r="Y31" s="15">
        <f>IF(B31="","",IF(COUNTIF(B$5:B31,B31)=1,ROW(),""))</f>
      </c>
      <c r="Z31" s="4">
        <f>IF(H31="","",B31&amp;"|"&amp;E31)</f>
      </c>
      <c r="AA31" s="16">
        <f>IF(B31="","",IF(COUNTIF(B31:B$1000,B31)=1,A31,""))</f>
      </c>
    </row>
    <row r="32" spans="1:27" x14ac:dyDescent="0.25">
      <c r="A32" s="6">
        <v>46296</v>
      </c>
      <c r="B32" s="5" t="s">
        <v>208</v>
      </c>
      <c r="C32" s="5" t="s">
        <v>133</v>
      </c>
      <c r="D32" s="5" t="s">
        <v>149</v>
      </c>
      <c r="E32" s="5" t="s">
        <v>128</v>
      </c>
      <c r="F32" s="5">
        <v>24</v>
      </c>
      <c r="G32" s="7">
        <v>690</v>
      </c>
      <c r="H32" s="7">
        <v>1150</v>
      </c>
      <c r="I32" s="8">
        <v>0.85</v>
      </c>
      <c r="J32" s="7">
        <v>69</v>
      </c>
      <c r="K32" s="7">
        <v>9</v>
      </c>
      <c r="L32" s="7">
        <v>5</v>
      </c>
      <c r="M32" s="7">
        <v>3</v>
      </c>
      <c r="N32" s="9"/>
      <c r="O32" s="10"/>
      <c r="P32" s="4">
        <f>IF(F32="","",INDEX(Settings!$H$5:$H$9,1+(F32&gt;15)+(F32&gt;30)+(F32&gt;45)+(F32&gt;60)))</f>
      </c>
      <c r="Q32" s="11">
        <f>IFERROR((J32+K32+L32)/H32,"")</f>
      </c>
      <c r="R32" s="12">
        <f>IF(H32="","",IF(COUNTIFS(E:E,E32,P:P,P32,H:H,"&gt;=0")-1&lt;3,"Need 3+",(SUMIFS(H:H,E:E,E32,P:P,P32)-H32)/(COUNTIFS(E:E,E32,P:P,P32,H:H,"&gt;=0")-1)))</f>
      </c>
      <c r="S32" s="13">
        <f>IF(H32="","",IFERROR(ROUND(H32/R32,2),"—"))</f>
      </c>
      <c r="T32" s="4">
        <f>IF(H32="","",IF(S32="—","—",IF(S32&gt;=1.5,"🟢 Winner",IF(S32&lt;=0.5,"🔴 Flop","Normal"))))</f>
      </c>
      <c r="U32" s="14">
        <f>IF(I32="","",IF(I32&gt;1,I32/100,I32))</f>
      </c>
      <c r="V32" s="4">
        <f>IF((COUNTIF(Settings!$D$5:$D$34,C32)+(C32=""))*(COUNTIF(Settings!$E$5:$E$34,D32)+(D32=""))*(COUNTIF(Settings!$F$5:$F$34,E32)+(E32="")),"","⚠ Not in Settings")</f>
      </c>
      <c r="W32" s="4">
        <f>IF(H32="","",H32+ROW()/10000)</f>
      </c>
      <c r="X32" s="4">
        <f>IF(OR(A32="",W32=""),"",(INT((A32-Settings!$B$6)/7)+1)*1E10+W32)</f>
      </c>
      <c r="Y32" s="15">
        <f>IF(B32="","",IF(COUNTIF(B$5:B32,B32)=1,ROW(),""))</f>
      </c>
      <c r="Z32" s="4">
        <f>IF(H32="","",B32&amp;"|"&amp;E32)</f>
      </c>
      <c r="AA32" s="16">
        <f>IF(B32="","",IF(COUNTIF(B32:B$1000,B32)=1,A32,""))</f>
      </c>
    </row>
    <row r="33" spans="1:27" x14ac:dyDescent="0.25">
      <c r="A33" s="6">
        <v>46296</v>
      </c>
      <c r="B33" s="5" t="s">
        <v>208</v>
      </c>
      <c r="C33" s="5" t="s">
        <v>133</v>
      </c>
      <c r="D33" s="5" t="s">
        <v>149</v>
      </c>
      <c r="E33" s="5" t="s">
        <v>135</v>
      </c>
      <c r="F33" s="5">
        <v>24</v>
      </c>
      <c r="G33" s="7">
        <v>2880</v>
      </c>
      <c r="H33" s="7">
        <v>4800</v>
      </c>
      <c r="I33" s="8">
        <v>0.88</v>
      </c>
      <c r="J33" s="7">
        <v>288</v>
      </c>
      <c r="K33" s="7">
        <v>38</v>
      </c>
      <c r="L33" s="7">
        <v>19</v>
      </c>
      <c r="M33" s="7">
        <v>12</v>
      </c>
      <c r="N33" s="9">
        <v>22</v>
      </c>
      <c r="O33" s="10">
        <v>8.8</v>
      </c>
      <c r="P33" s="4">
        <f>IF(F33="","",INDEX(Settings!$H$5:$H$9,1+(F33&gt;15)+(F33&gt;30)+(F33&gt;45)+(F33&gt;60)))</f>
      </c>
      <c r="Q33" s="11">
        <f>IFERROR((J33+K33+L33)/H33,"")</f>
      </c>
      <c r="R33" s="12">
        <f>IF(H33="","",IF(COUNTIFS(E:E,E33,P:P,P33,H:H,"&gt;=0")-1&lt;3,"Need 3+",(SUMIFS(H:H,E:E,E33,P:P,P33)-H33)/(COUNTIFS(E:E,E33,P:P,P33,H:H,"&gt;=0")-1)))</f>
      </c>
      <c r="S33" s="13">
        <f>IF(H33="","",IFERROR(ROUND(H33/R33,2),"—"))</f>
      </c>
      <c r="T33" s="4">
        <f>IF(H33="","",IF(S33="—","—",IF(S33&gt;=1.5,"🟢 Winner",IF(S33&lt;=0.5,"🔴 Flop","Normal"))))</f>
      </c>
      <c r="U33" s="14">
        <f>IF(I33="","",IF(I33&gt;1,I33/100,I33))</f>
      </c>
      <c r="V33" s="4">
        <f>IF((COUNTIF(Settings!$D$5:$D$34,C33)+(C33=""))*(COUNTIF(Settings!$E$5:$E$34,D33)+(D33=""))*(COUNTIF(Settings!$F$5:$F$34,E33)+(E33="")),"","⚠ Not in Settings")</f>
      </c>
      <c r="W33" s="4">
        <f>IF(H33="","",H33+ROW()/10000)</f>
      </c>
      <c r="X33" s="4">
        <f>IF(OR(A33="",W33=""),"",(INT((A33-Settings!$B$6)/7)+1)*1E10+W33)</f>
      </c>
      <c r="Y33" s="15">
        <f>IF(B33="","",IF(COUNTIF(B$5:B33,B33)=1,ROW(),""))</f>
      </c>
      <c r="Z33" s="4">
        <f>IF(H33="","",B33&amp;"|"&amp;E33)</f>
      </c>
      <c r="AA33" s="16">
        <f>IF(B33="","",IF(COUNTIF(B33:B$1000,B33)=1,A33,""))</f>
      </c>
    </row>
    <row r="34" spans="1:27" x14ac:dyDescent="0.25">
      <c r="A34" s="6">
        <v>46296</v>
      </c>
      <c r="B34" s="5" t="s">
        <v>208</v>
      </c>
      <c r="C34" s="5" t="s">
        <v>133</v>
      </c>
      <c r="D34" s="5" t="s">
        <v>149</v>
      </c>
      <c r="E34" s="5" t="s">
        <v>142</v>
      </c>
      <c r="F34" s="5">
        <v>24</v>
      </c>
      <c r="G34" s="7">
        <v>978</v>
      </c>
      <c r="H34" s="7">
        <v>1630</v>
      </c>
      <c r="I34" s="8">
        <v>0.83</v>
      </c>
      <c r="J34" s="7">
        <v>98</v>
      </c>
      <c r="K34" s="7">
        <v>13</v>
      </c>
      <c r="L34" s="7">
        <v>7</v>
      </c>
      <c r="M34" s="7">
        <v>4</v>
      </c>
      <c r="N34" s="9"/>
      <c r="O34" s="10"/>
      <c r="P34" s="4">
        <f>IF(F34="","",INDEX(Settings!$H$5:$H$9,1+(F34&gt;15)+(F34&gt;30)+(F34&gt;45)+(F34&gt;60)))</f>
      </c>
      <c r="Q34" s="11">
        <f>IFERROR((J34+K34+L34)/H34,"")</f>
      </c>
      <c r="R34" s="12">
        <f>IF(H34="","",IF(COUNTIFS(E:E,E34,P:P,P34,H:H,"&gt;=0")-1&lt;3,"Need 3+",(SUMIFS(H:H,E:E,E34,P:P,P34)-H34)/(COUNTIFS(E:E,E34,P:P,P34,H:H,"&gt;=0")-1)))</f>
      </c>
      <c r="S34" s="13">
        <f>IF(H34="","",IFERROR(ROUND(H34/R34,2),"—"))</f>
      </c>
      <c r="T34" s="4">
        <f>IF(H34="","",IF(S34="—","—",IF(S34&gt;=1.5,"🟢 Winner",IF(S34&lt;=0.5,"🔴 Flop","Normal"))))</f>
      </c>
      <c r="U34" s="14">
        <f>IF(I34="","",IF(I34&gt;1,I34/100,I34))</f>
      </c>
      <c r="V34" s="4">
        <f>IF((COUNTIF(Settings!$D$5:$D$34,C34)+(C34=""))*(COUNTIF(Settings!$E$5:$E$34,D34)+(D34=""))*(COUNTIF(Settings!$F$5:$F$34,E34)+(E34="")),"","⚠ Not in Settings")</f>
      </c>
      <c r="W34" s="4">
        <f>IF(H34="","",H34+ROW()/10000)</f>
      </c>
      <c r="X34" s="4">
        <f>IF(OR(A34="",W34=""),"",(INT((A34-Settings!$B$6)/7)+1)*1E10+W34)</f>
      </c>
      <c r="Y34" s="15">
        <f>IF(B34="","",IF(COUNTIF(B$5:B34,B34)=1,ROW(),""))</f>
      </c>
      <c r="Z34" s="4">
        <f>IF(H34="","",B34&amp;"|"&amp;E34)</f>
      </c>
      <c r="AA34" s="16">
        <f>IF(B34="","",IF(COUNTIF(B34:B$1000,B34)=1,A34,""))</f>
      </c>
    </row>
    <row r="35" spans="1:27" x14ac:dyDescent="0.25">
      <c r="A35" s="6">
        <v>46297</v>
      </c>
      <c r="B35" s="5" t="s">
        <v>189</v>
      </c>
      <c r="C35" s="5" t="s">
        <v>126</v>
      </c>
      <c r="D35" s="5" t="s">
        <v>154</v>
      </c>
      <c r="E35" s="5" t="s">
        <v>128</v>
      </c>
      <c r="F35" s="5">
        <v>36</v>
      </c>
      <c r="G35" s="7">
        <v>336</v>
      </c>
      <c r="H35" s="7">
        <v>560</v>
      </c>
      <c r="I35" s="8">
        <v>0.57</v>
      </c>
      <c r="J35" s="7">
        <v>34</v>
      </c>
      <c r="K35" s="7">
        <v>4</v>
      </c>
      <c r="L35" s="7">
        <v>2</v>
      </c>
      <c r="M35" s="7">
        <v>1</v>
      </c>
      <c r="N35" s="9"/>
      <c r="O35" s="10"/>
      <c r="P35" s="4">
        <f>IF(F35="","",INDEX(Settings!$H$5:$H$9,1+(F35&gt;15)+(F35&gt;30)+(F35&gt;45)+(F35&gt;60)))</f>
      </c>
      <c r="Q35" s="11">
        <f>IFERROR((J35+K35+L35)/H35,"")</f>
      </c>
      <c r="R35" s="12">
        <f>IF(H35="","",IF(COUNTIFS(E:E,E35,P:P,P35,H:H,"&gt;=0")-1&lt;3,"Need 3+",(SUMIFS(H:H,E:E,E35,P:P,P35)-H35)/(COUNTIFS(E:E,E35,P:P,P35,H:H,"&gt;=0")-1)))</f>
      </c>
      <c r="S35" s="13">
        <f>IF(H35="","",IFERROR(ROUND(H35/R35,2),"—"))</f>
      </c>
      <c r="T35" s="4">
        <f>IF(H35="","",IF(S35="—","—",IF(S35&gt;=1.5,"🟢 Winner",IF(S35&lt;=0.5,"🔴 Flop","Normal"))))</f>
      </c>
      <c r="U35" s="14">
        <f>IF(I35="","",IF(I35&gt;1,I35/100,I35))</f>
      </c>
      <c r="V35" s="4">
        <f>IF((COUNTIF(Settings!$D$5:$D$34,C35)+(C35=""))*(COUNTIF(Settings!$E$5:$E$34,D35)+(D35=""))*(COUNTIF(Settings!$F$5:$F$34,E35)+(E35="")),"","⚠ Not in Settings")</f>
      </c>
      <c r="W35" s="4">
        <f>IF(H35="","",H35+ROW()/10000)</f>
      </c>
      <c r="X35" s="4">
        <f>IF(OR(A35="",W35=""),"",(INT((A35-Settings!$B$6)/7)+1)*1E10+W35)</f>
      </c>
      <c r="Y35" s="15">
        <f>IF(B35="","",IF(COUNTIF(B$5:B35,B35)=1,ROW(),""))</f>
      </c>
      <c r="Z35" s="4">
        <f>IF(H35="","",B35&amp;"|"&amp;E35)</f>
      </c>
      <c r="AA35" s="16">
        <f>IF(B35="","",IF(COUNTIF(B35:B$1000,B35)=1,A35,""))</f>
      </c>
    </row>
    <row r="36" spans="1:27" x14ac:dyDescent="0.25">
      <c r="A36" s="6">
        <v>46297</v>
      </c>
      <c r="B36" s="5" t="s">
        <v>189</v>
      </c>
      <c r="C36" s="5" t="s">
        <v>126</v>
      </c>
      <c r="D36" s="5" t="s">
        <v>154</v>
      </c>
      <c r="E36" s="5" t="s">
        <v>135</v>
      </c>
      <c r="F36" s="5">
        <v>36</v>
      </c>
      <c r="G36" s="7">
        <v>540</v>
      </c>
      <c r="H36" s="7">
        <v>900</v>
      </c>
      <c r="I36" s="8">
        <v>0.54</v>
      </c>
      <c r="J36" s="7">
        <v>54</v>
      </c>
      <c r="K36" s="7">
        <v>7</v>
      </c>
      <c r="L36" s="7">
        <v>4</v>
      </c>
      <c r="M36" s="7">
        <v>2</v>
      </c>
      <c r="N36" s="9"/>
      <c r="O36" s="10"/>
      <c r="P36" s="4">
        <f>IF(F36="","",INDEX(Settings!$H$5:$H$9,1+(F36&gt;15)+(F36&gt;30)+(F36&gt;45)+(F36&gt;60)))</f>
      </c>
      <c r="Q36" s="11">
        <f>IFERROR((J36+K36+L36)/H36,"")</f>
      </c>
      <c r="R36" s="12">
        <f>IF(H36="","",IF(COUNTIFS(E:E,E36,P:P,P36,H:H,"&gt;=0")-1&lt;3,"Need 3+",(SUMIFS(H:H,E:E,E36,P:P,P36)-H36)/(COUNTIFS(E:E,E36,P:P,P36,H:H,"&gt;=0")-1)))</f>
      </c>
      <c r="S36" s="13">
        <f>IF(H36="","",IFERROR(ROUND(H36/R36,2),"—"))</f>
      </c>
      <c r="T36" s="4">
        <f>IF(H36="","",IF(S36="—","—",IF(S36&gt;=1.5,"🟢 Winner",IF(S36&lt;=0.5,"🔴 Flop","Normal"))))</f>
      </c>
      <c r="U36" s="14">
        <f>IF(I36="","",IF(I36&gt;1,I36/100,I36))</f>
      </c>
      <c r="V36" s="4">
        <f>IF((COUNTIF(Settings!$D$5:$D$34,C36)+(C36=""))*(COUNTIF(Settings!$E$5:$E$34,D36)+(D36=""))*(COUNTIF(Settings!$F$5:$F$34,E36)+(E36="")),"","⚠ Not in Settings")</f>
      </c>
      <c r="W36" s="4">
        <f>IF(H36="","",H36+ROW()/10000)</f>
      </c>
      <c r="X36" s="4">
        <f>IF(OR(A36="",W36=""),"",(INT((A36-Settings!$B$6)/7)+1)*1E10+W36)</f>
      </c>
      <c r="Y36" s="15">
        <f>IF(B36="","",IF(COUNTIF(B$5:B36,B36)=1,ROW(),""))</f>
      </c>
      <c r="Z36" s="4">
        <f>IF(H36="","",B36&amp;"|"&amp;E36)</f>
      </c>
      <c r="AA36" s="16">
        <f>IF(B36="","",IF(COUNTIF(B36:B$1000,B36)=1,A36,""))</f>
      </c>
    </row>
    <row r="37" spans="1:27" x14ac:dyDescent="0.25">
      <c r="A37" s="6">
        <v>46297</v>
      </c>
      <c r="B37" s="5" t="s">
        <v>189</v>
      </c>
      <c r="C37" s="5" t="s">
        <v>126</v>
      </c>
      <c r="D37" s="5" t="s">
        <v>154</v>
      </c>
      <c r="E37" s="5" t="s">
        <v>142</v>
      </c>
      <c r="F37" s="5">
        <v>36</v>
      </c>
      <c r="G37" s="7">
        <v>228</v>
      </c>
      <c r="H37" s="7">
        <v>380</v>
      </c>
      <c r="I37" s="8">
        <v>0.45</v>
      </c>
      <c r="J37" s="7">
        <v>23</v>
      </c>
      <c r="K37" s="7">
        <v>3</v>
      </c>
      <c r="L37" s="7">
        <v>2</v>
      </c>
      <c r="M37" s="7">
        <v>1</v>
      </c>
      <c r="N37" s="9"/>
      <c r="O37" s="10"/>
      <c r="P37" s="4">
        <f>IF(F37="","",INDEX(Settings!$H$5:$H$9,1+(F37&gt;15)+(F37&gt;30)+(F37&gt;45)+(F37&gt;60)))</f>
      </c>
      <c r="Q37" s="11">
        <f>IFERROR((J37+K37+L37)/H37,"")</f>
      </c>
      <c r="R37" s="12">
        <f>IF(H37="","",IF(COUNTIFS(E:E,E37,P:P,P37,H:H,"&gt;=0")-1&lt;3,"Need 3+",(SUMIFS(H:H,E:E,E37,P:P,P37)-H37)/(COUNTIFS(E:E,E37,P:P,P37,H:H,"&gt;=0")-1)))</f>
      </c>
      <c r="S37" s="13">
        <f>IF(H37="","",IFERROR(ROUND(H37/R37,2),"—"))</f>
      </c>
      <c r="T37" s="4">
        <f>IF(H37="","",IF(S37="—","—",IF(S37&gt;=1.5,"🟢 Winner",IF(S37&lt;=0.5,"🔴 Flop","Normal"))))</f>
      </c>
      <c r="U37" s="14">
        <f>IF(I37="","",IF(I37&gt;1,I37/100,I37))</f>
      </c>
      <c r="V37" s="4">
        <f>IF((COUNTIF(Settings!$D$5:$D$34,C37)+(C37=""))*(COUNTIF(Settings!$E$5:$E$34,D37)+(D37=""))*(COUNTIF(Settings!$F$5:$F$34,E37)+(E37="")),"","⚠ Not in Settings")</f>
      </c>
      <c r="W37" s="4">
        <f>IF(H37="","",H37+ROW()/10000)</f>
      </c>
      <c r="X37" s="4">
        <f>IF(OR(A37="",W37=""),"",(INT((A37-Settings!$B$6)/7)+1)*1E10+W37)</f>
      </c>
      <c r="Y37" s="15">
        <f>IF(B37="","",IF(COUNTIF(B$5:B37,B37)=1,ROW(),""))</f>
      </c>
      <c r="Z37" s="4">
        <f>IF(H37="","",B37&amp;"|"&amp;E37)</f>
      </c>
      <c r="AA37" s="16">
        <f>IF(B37="","",IF(COUNTIF(B37:B$1000,B37)=1,A37,""))</f>
      </c>
    </row>
    <row r="38" spans="1:27" x14ac:dyDescent="0.25">
      <c r="A38" s="6">
        <v>46298</v>
      </c>
      <c r="B38" s="5" t="s">
        <v>209</v>
      </c>
      <c r="C38" s="5" t="s">
        <v>133</v>
      </c>
      <c r="D38" s="5" t="s">
        <v>149</v>
      </c>
      <c r="E38" s="5" t="s">
        <v>128</v>
      </c>
      <c r="F38" s="5">
        <v>29</v>
      </c>
      <c r="G38" s="7">
        <v>852</v>
      </c>
      <c r="H38" s="7">
        <v>1420</v>
      </c>
      <c r="I38" s="8">
        <v>0.81</v>
      </c>
      <c r="J38" s="7">
        <v>85</v>
      </c>
      <c r="K38" s="7">
        <v>11</v>
      </c>
      <c r="L38" s="7">
        <v>6</v>
      </c>
      <c r="M38" s="7">
        <v>4</v>
      </c>
      <c r="N38" s="9"/>
      <c r="O38" s="10"/>
      <c r="P38" s="4">
        <f>IF(F38="","",INDEX(Settings!$H$5:$H$9,1+(F38&gt;15)+(F38&gt;30)+(F38&gt;45)+(F38&gt;60)))</f>
      </c>
      <c r="Q38" s="11">
        <f>IFERROR((J38+K38+L38)/H38,"")</f>
      </c>
      <c r="R38" s="12">
        <f>IF(H38="","",IF(COUNTIFS(E:E,E38,P:P,P38,H:H,"&gt;=0")-1&lt;3,"Need 3+",(SUMIFS(H:H,E:E,E38,P:P,P38)-H38)/(COUNTIFS(E:E,E38,P:P,P38,H:H,"&gt;=0")-1)))</f>
      </c>
      <c r="S38" s="13">
        <f>IF(H38="","",IFERROR(ROUND(H38/R38,2),"—"))</f>
      </c>
      <c r="T38" s="4">
        <f>IF(H38="","",IF(S38="—","—",IF(S38&gt;=1.5,"🟢 Winner",IF(S38&lt;=0.5,"🔴 Flop","Normal"))))</f>
      </c>
      <c r="U38" s="14">
        <f>IF(I38="","",IF(I38&gt;1,I38/100,I38))</f>
      </c>
      <c r="V38" s="4">
        <f>IF((COUNTIF(Settings!$D$5:$D$34,C38)+(C38=""))*(COUNTIF(Settings!$E$5:$E$34,D38)+(D38=""))*(COUNTIF(Settings!$F$5:$F$34,E38)+(E38="")),"","⚠ Not in Settings")</f>
      </c>
      <c r="W38" s="4">
        <f>IF(H38="","",H38+ROW()/10000)</f>
      </c>
      <c r="X38" s="4">
        <f>IF(OR(A38="",W38=""),"",(INT((A38-Settings!$B$6)/7)+1)*1E10+W38)</f>
      </c>
      <c r="Y38" s="15">
        <f>IF(B38="","",IF(COUNTIF(B$5:B38,B38)=1,ROW(),""))</f>
      </c>
      <c r="Z38" s="4">
        <f>IF(H38="","",B38&amp;"|"&amp;E38)</f>
      </c>
      <c r="AA38" s="16">
        <f>IF(B38="","",IF(COUNTIF(B38:B$1000,B38)=1,A38,""))</f>
      </c>
    </row>
    <row r="39" spans="1:27" x14ac:dyDescent="0.25">
      <c r="A39" s="6">
        <v>46298</v>
      </c>
      <c r="B39" s="5" t="s">
        <v>209</v>
      </c>
      <c r="C39" s="5" t="s">
        <v>133</v>
      </c>
      <c r="D39" s="5" t="s">
        <v>149</v>
      </c>
      <c r="E39" s="5" t="s">
        <v>135</v>
      </c>
      <c r="F39" s="5">
        <v>29</v>
      </c>
      <c r="G39" s="7">
        <v>1410</v>
      </c>
      <c r="H39" s="7">
        <v>2350</v>
      </c>
      <c r="I39" s="8">
        <v>0.8</v>
      </c>
      <c r="J39" s="7">
        <v>141</v>
      </c>
      <c r="K39" s="7">
        <v>19</v>
      </c>
      <c r="L39" s="7">
        <v>9</v>
      </c>
      <c r="M39" s="7">
        <v>6</v>
      </c>
      <c r="N39" s="9"/>
      <c r="O39" s="10"/>
      <c r="P39" s="4">
        <f>IF(F39="","",INDEX(Settings!$H$5:$H$9,1+(F39&gt;15)+(F39&gt;30)+(F39&gt;45)+(F39&gt;60)))</f>
      </c>
      <c r="Q39" s="11">
        <f>IFERROR((J39+K39+L39)/H39,"")</f>
      </c>
      <c r="R39" s="12">
        <f>IF(H39="","",IF(COUNTIFS(E:E,E39,P:P,P39,H:H,"&gt;=0")-1&lt;3,"Need 3+",(SUMIFS(H:H,E:E,E39,P:P,P39)-H39)/(COUNTIFS(E:E,E39,P:P,P39,H:H,"&gt;=0")-1)))</f>
      </c>
      <c r="S39" s="13">
        <f>IF(H39="","",IFERROR(ROUND(H39/R39,2),"—"))</f>
      </c>
      <c r="T39" s="4">
        <f>IF(H39="","",IF(S39="—","—",IF(S39&gt;=1.5,"🟢 Winner",IF(S39&lt;=0.5,"🔴 Flop","Normal"))))</f>
      </c>
      <c r="U39" s="14">
        <f>IF(I39="","",IF(I39&gt;1,I39/100,I39))</f>
      </c>
      <c r="V39" s="4">
        <f>IF((COUNTIF(Settings!$D$5:$D$34,C39)+(C39=""))*(COUNTIF(Settings!$E$5:$E$34,D39)+(D39=""))*(COUNTIF(Settings!$F$5:$F$34,E39)+(E39="")),"","⚠ Not in Settings")</f>
      </c>
      <c r="W39" s="4">
        <f>IF(H39="","",H39+ROW()/10000)</f>
      </c>
      <c r="X39" s="4">
        <f>IF(OR(A39="",W39=""),"",(INT((A39-Settings!$B$6)/7)+1)*1E10+W39)</f>
      </c>
      <c r="Y39" s="15">
        <f>IF(B39="","",IF(COUNTIF(B$5:B39,B39)=1,ROW(),""))</f>
      </c>
      <c r="Z39" s="4">
        <f>IF(H39="","",B39&amp;"|"&amp;E39)</f>
      </c>
      <c r="AA39" s="16">
        <f>IF(B39="","",IF(COUNTIF(B39:B$1000,B39)=1,A39,""))</f>
      </c>
    </row>
    <row r="40" spans="1:27" x14ac:dyDescent="0.25">
      <c r="A40" s="6">
        <v>46298</v>
      </c>
      <c r="B40" s="5" t="s">
        <v>209</v>
      </c>
      <c r="C40" s="5" t="s">
        <v>133</v>
      </c>
      <c r="D40" s="5" t="s">
        <v>149</v>
      </c>
      <c r="E40" s="5" t="s">
        <v>142</v>
      </c>
      <c r="F40" s="5">
        <v>29</v>
      </c>
      <c r="G40" s="7">
        <v>540</v>
      </c>
      <c r="H40" s="7">
        <v>900</v>
      </c>
      <c r="I40" s="8">
        <v>0.74</v>
      </c>
      <c r="J40" s="7">
        <v>54</v>
      </c>
      <c r="K40" s="7">
        <v>7</v>
      </c>
      <c r="L40" s="7">
        <v>4</v>
      </c>
      <c r="M40" s="7">
        <v>2</v>
      </c>
      <c r="N40" s="9"/>
      <c r="O40" s="10"/>
      <c r="P40" s="4">
        <f>IF(F40="","",INDEX(Settings!$H$5:$H$9,1+(F40&gt;15)+(F40&gt;30)+(F40&gt;45)+(F40&gt;60)))</f>
      </c>
      <c r="Q40" s="11">
        <f>IFERROR((J40+K40+L40)/H40,"")</f>
      </c>
      <c r="R40" s="12">
        <f>IF(H40="","",IF(COUNTIFS(E:E,E40,P:P,P40,H:H,"&gt;=0")-1&lt;3,"Need 3+",(SUMIFS(H:H,E:E,E40,P:P,P40)-H40)/(COUNTIFS(E:E,E40,P:P,P40,H:H,"&gt;=0")-1)))</f>
      </c>
      <c r="S40" s="13">
        <f>IF(H40="","",IFERROR(ROUND(H40/R40,2),"—"))</f>
      </c>
      <c r="T40" s="4">
        <f>IF(H40="","",IF(S40="—","—",IF(S40&gt;=1.5,"🟢 Winner",IF(S40&lt;=0.5,"🔴 Flop","Normal"))))</f>
      </c>
      <c r="U40" s="14">
        <f>IF(I40="","",IF(I40&gt;1,I40/100,I40))</f>
      </c>
      <c r="V40" s="4">
        <f>IF((COUNTIF(Settings!$D$5:$D$34,C40)+(C40=""))*(COUNTIF(Settings!$E$5:$E$34,D40)+(D40=""))*(COUNTIF(Settings!$F$5:$F$34,E40)+(E40="")),"","⚠ Not in Settings")</f>
      </c>
      <c r="W40" s="4">
        <f>IF(H40="","",H40+ROW()/10000)</f>
      </c>
      <c r="X40" s="4">
        <f>IF(OR(A40="",W40=""),"",(INT((A40-Settings!$B$6)/7)+1)*1E10+W40)</f>
      </c>
      <c r="Y40" s="15">
        <f>IF(B40="","",IF(COUNTIF(B$5:B40,B40)=1,ROW(),""))</f>
      </c>
      <c r="Z40" s="4">
        <f>IF(H40="","",B40&amp;"|"&amp;E40)</f>
      </c>
      <c r="AA40" s="16">
        <f>IF(B40="","",IF(COUNTIF(B40:B$1000,B40)=1,A40,""))</f>
      </c>
    </row>
    <row r="41" spans="1:27" x14ac:dyDescent="0.25">
      <c r="A41" s="6"/>
      <c r="B41" s="5"/>
      <c r="C41" s="5"/>
      <c r="D41" s="5"/>
      <c r="E41" s="5"/>
      <c r="F41" s="5"/>
      <c r="G41" s="7"/>
      <c r="H41" s="7"/>
      <c r="I41" s="8"/>
      <c r="J41" s="7"/>
      <c r="K41" s="7"/>
      <c r="L41" s="7"/>
      <c r="M41" s="7"/>
      <c r="N41" s="9"/>
      <c r="O41" s="10"/>
      <c r="P41" s="4">
        <f>IF(F41="","",INDEX(Settings!$H$5:$H$9,1+(F41&gt;15)+(F41&gt;30)+(F41&gt;45)+(F41&gt;60)))</f>
      </c>
      <c r="Q41" s="11">
        <f>IFERROR((J41+K41+L41)/H41,"")</f>
      </c>
      <c r="R41" s="12">
        <f>IF(H41="","",IF(COUNTIFS(E:E,E41,P:P,P41,H:H,"&gt;=0")-1&lt;3,"Need 3+",(SUMIFS(H:H,E:E,E41,P:P,P41)-H41)/(COUNTIFS(E:E,E41,P:P,P41,H:H,"&gt;=0")-1)))</f>
      </c>
      <c r="S41" s="13">
        <f>IF(H41="","",IFERROR(ROUND(H41/R41,2),"—"))</f>
      </c>
      <c r="T41" s="4">
        <f>IF(H41="","",IF(S41="—","—",IF(S41&gt;=1.5,"🟢 Winner",IF(S41&lt;=0.5,"🔴 Flop","Normal"))))</f>
      </c>
      <c r="U41" s="14">
        <f>IF(I41="","",IF(I41&gt;1,I41/100,I41))</f>
      </c>
      <c r="V41" s="4">
        <f>IF((COUNTIF(Settings!$D$5:$D$34,C41)+(C41=""))*(COUNTIF(Settings!$E$5:$E$34,D41)+(D41=""))*(COUNTIF(Settings!$F$5:$F$34,E41)+(E41="")),"","⚠ Not in Settings")</f>
      </c>
      <c r="W41" s="4">
        <f>IF(H41="","",H41+ROW()/10000)</f>
      </c>
      <c r="X41" s="4">
        <f>IF(OR(A41="",W41=""),"",(INT((A41-Settings!$B$6)/7)+1)*1E10+W41)</f>
      </c>
      <c r="Y41" s="15">
        <f>IF(B41="","",IF(COUNTIF(B$5:B41,B41)=1,ROW(),""))</f>
      </c>
      <c r="Z41" s="4">
        <f>IF(H41="","",B41&amp;"|"&amp;E41)</f>
      </c>
      <c r="AA41" s="16">
        <f>IF(B41="","",IF(COUNTIF(B41:B$1000,B41)=1,A41,""))</f>
      </c>
    </row>
    <row r="42" spans="1:27" x14ac:dyDescent="0.25">
      <c r="A42" s="6"/>
      <c r="B42" s="5"/>
      <c r="C42" s="5"/>
      <c r="D42" s="5"/>
      <c r="E42" s="5"/>
      <c r="F42" s="5"/>
      <c r="G42" s="7"/>
      <c r="H42" s="7"/>
      <c r="I42" s="8"/>
      <c r="J42" s="7"/>
      <c r="K42" s="7"/>
      <c r="L42" s="7"/>
      <c r="M42" s="7"/>
      <c r="N42" s="9"/>
      <c r="O42" s="10"/>
      <c r="P42" s="4">
        <f>IF(F42="","",INDEX(Settings!$H$5:$H$9,1+(F42&gt;15)+(F42&gt;30)+(F42&gt;45)+(F42&gt;60)))</f>
      </c>
      <c r="Q42" s="11">
        <f>IFERROR((J42+K42+L42)/H42,"")</f>
      </c>
      <c r="R42" s="12">
        <f>IF(H42="","",IF(COUNTIFS(E:E,E42,P:P,P42,H:H,"&gt;=0")-1&lt;3,"Need 3+",(SUMIFS(H:H,E:E,E42,P:P,P42)-H42)/(COUNTIFS(E:E,E42,P:P,P42,H:H,"&gt;=0")-1)))</f>
      </c>
      <c r="S42" s="13">
        <f>IF(H42="","",IFERROR(ROUND(H42/R42,2),"—"))</f>
      </c>
      <c r="T42" s="4">
        <f>IF(H42="","",IF(S42="—","—",IF(S42&gt;=1.5,"🟢 Winner",IF(S42&lt;=0.5,"🔴 Flop","Normal"))))</f>
      </c>
      <c r="U42" s="14">
        <f>IF(I42="","",IF(I42&gt;1,I42/100,I42))</f>
      </c>
      <c r="V42" s="4">
        <f>IF((COUNTIF(Settings!$D$5:$D$34,C42)+(C42=""))*(COUNTIF(Settings!$E$5:$E$34,D42)+(D42=""))*(COUNTIF(Settings!$F$5:$F$34,E42)+(E42="")),"","⚠ Not in Settings")</f>
      </c>
      <c r="W42" s="4">
        <f>IF(H42="","",H42+ROW()/10000)</f>
      </c>
      <c r="X42" s="4">
        <f>IF(OR(A42="",W42=""),"",(INT((A42-Settings!$B$6)/7)+1)*1E10+W42)</f>
      </c>
      <c r="Y42" s="15">
        <f>IF(B42="","",IF(COUNTIF(B$5:B42,B42)=1,ROW(),""))</f>
      </c>
      <c r="Z42" s="4">
        <f>IF(H42="","",B42&amp;"|"&amp;E42)</f>
      </c>
      <c r="AA42" s="16">
        <f>IF(B42="","",IF(COUNTIF(B42:B$1000,B42)=1,A42,""))</f>
      </c>
    </row>
    <row r="43" spans="1:27" x14ac:dyDescent="0.25">
      <c r="A43" s="6"/>
      <c r="B43" s="5"/>
      <c r="C43" s="5"/>
      <c r="D43" s="5"/>
      <c r="E43" s="5"/>
      <c r="F43" s="5"/>
      <c r="G43" s="7"/>
      <c r="H43" s="7"/>
      <c r="I43" s="8"/>
      <c r="J43" s="7"/>
      <c r="K43" s="7"/>
      <c r="L43" s="7"/>
      <c r="M43" s="7"/>
      <c r="N43" s="9"/>
      <c r="O43" s="10"/>
      <c r="P43" s="4">
        <f>IF(F43="","",INDEX(Settings!$H$5:$H$9,1+(F43&gt;15)+(F43&gt;30)+(F43&gt;45)+(F43&gt;60)))</f>
      </c>
      <c r="Q43" s="11">
        <f>IFERROR((J43+K43+L43)/H43,"")</f>
      </c>
      <c r="R43" s="12">
        <f>IF(H43="","",IF(COUNTIFS(E:E,E43,P:P,P43,H:H,"&gt;=0")-1&lt;3,"Need 3+",(SUMIFS(H:H,E:E,E43,P:P,P43)-H43)/(COUNTIFS(E:E,E43,P:P,P43,H:H,"&gt;=0")-1)))</f>
      </c>
      <c r="S43" s="13">
        <f>IF(H43="","",IFERROR(ROUND(H43/R43,2),"—"))</f>
      </c>
      <c r="T43" s="4">
        <f>IF(H43="","",IF(S43="—","—",IF(S43&gt;=1.5,"🟢 Winner",IF(S43&lt;=0.5,"🔴 Flop","Normal"))))</f>
      </c>
      <c r="U43" s="14">
        <f>IF(I43="","",IF(I43&gt;1,I43/100,I43))</f>
      </c>
      <c r="V43" s="4">
        <f>IF((COUNTIF(Settings!$D$5:$D$34,C43)+(C43=""))*(COUNTIF(Settings!$E$5:$E$34,D43)+(D43=""))*(COUNTIF(Settings!$F$5:$F$34,E43)+(E43="")),"","⚠ Not in Settings")</f>
      </c>
      <c r="W43" s="4">
        <f>IF(H43="","",H43+ROW()/10000)</f>
      </c>
      <c r="X43" s="4">
        <f>IF(OR(A43="",W43=""),"",(INT((A43-Settings!$B$6)/7)+1)*1E10+W43)</f>
      </c>
      <c r="Y43" s="15">
        <f>IF(B43="","",IF(COUNTIF(B$5:B43,B43)=1,ROW(),""))</f>
      </c>
      <c r="Z43" s="4">
        <f>IF(H43="","",B43&amp;"|"&amp;E43)</f>
      </c>
      <c r="AA43" s="16">
        <f>IF(B43="","",IF(COUNTIF(B43:B$1000,B43)=1,A43,""))</f>
      </c>
    </row>
    <row r="44" spans="1:27" x14ac:dyDescent="0.25">
      <c r="A44" s="6"/>
      <c r="B44" s="5"/>
      <c r="C44" s="5"/>
      <c r="D44" s="5"/>
      <c r="E44" s="5"/>
      <c r="F44" s="5"/>
      <c r="G44" s="7"/>
      <c r="H44" s="7"/>
      <c r="I44" s="8"/>
      <c r="J44" s="7"/>
      <c r="K44" s="7"/>
      <c r="L44" s="7"/>
      <c r="M44" s="7"/>
      <c r="N44" s="9"/>
      <c r="O44" s="10"/>
      <c r="P44" s="4">
        <f>IF(F44="","",INDEX(Settings!$H$5:$H$9,1+(F44&gt;15)+(F44&gt;30)+(F44&gt;45)+(F44&gt;60)))</f>
      </c>
      <c r="Q44" s="11">
        <f>IFERROR((J44+K44+L44)/H44,"")</f>
      </c>
      <c r="R44" s="12">
        <f>IF(H44="","",IF(COUNTIFS(E:E,E44,P:P,P44,H:H,"&gt;=0")-1&lt;3,"Need 3+",(SUMIFS(H:H,E:E,E44,P:P,P44)-H44)/(COUNTIFS(E:E,E44,P:P,P44,H:H,"&gt;=0")-1)))</f>
      </c>
      <c r="S44" s="13">
        <f>IF(H44="","",IFERROR(ROUND(H44/R44,2),"—"))</f>
      </c>
      <c r="T44" s="4">
        <f>IF(H44="","",IF(S44="—","—",IF(S44&gt;=1.5,"🟢 Winner",IF(S44&lt;=0.5,"🔴 Flop","Normal"))))</f>
      </c>
      <c r="U44" s="14">
        <f>IF(I44="","",IF(I44&gt;1,I44/100,I44))</f>
      </c>
      <c r="V44" s="4">
        <f>IF((COUNTIF(Settings!$D$5:$D$34,C44)+(C44=""))*(COUNTIF(Settings!$E$5:$E$34,D44)+(D44=""))*(COUNTIF(Settings!$F$5:$F$34,E44)+(E44="")),"","⚠ Not in Settings")</f>
      </c>
      <c r="W44" s="4">
        <f>IF(H44="","",H44+ROW()/10000)</f>
      </c>
      <c r="X44" s="4">
        <f>IF(OR(A44="",W44=""),"",(INT((A44-Settings!$B$6)/7)+1)*1E10+W44)</f>
      </c>
      <c r="Y44" s="15">
        <f>IF(B44="","",IF(COUNTIF(B$5:B44,B44)=1,ROW(),""))</f>
      </c>
      <c r="Z44" s="4">
        <f>IF(H44="","",B44&amp;"|"&amp;E44)</f>
      </c>
      <c r="AA44" s="16">
        <f>IF(B44="","",IF(COUNTIF(B44:B$1000,B44)=1,A44,""))</f>
      </c>
    </row>
    <row r="45" spans="1:27" x14ac:dyDescent="0.25">
      <c r="A45" s="6"/>
      <c r="B45" s="5"/>
      <c r="C45" s="5"/>
      <c r="D45" s="5"/>
      <c r="E45" s="5"/>
      <c r="F45" s="5"/>
      <c r="G45" s="7"/>
      <c r="H45" s="7"/>
      <c r="I45" s="8"/>
      <c r="J45" s="7"/>
      <c r="K45" s="7"/>
      <c r="L45" s="7"/>
      <c r="M45" s="7"/>
      <c r="N45" s="9"/>
      <c r="O45" s="10"/>
      <c r="P45" s="4">
        <f>IF(F45="","",INDEX(Settings!$H$5:$H$9,1+(F45&gt;15)+(F45&gt;30)+(F45&gt;45)+(F45&gt;60)))</f>
      </c>
      <c r="Q45" s="11">
        <f>IFERROR((J45+K45+L45)/H45,"")</f>
      </c>
      <c r="R45" s="12">
        <f>IF(H45="","",IF(COUNTIFS(E:E,E45,P:P,P45,H:H,"&gt;=0")-1&lt;3,"Need 3+",(SUMIFS(H:H,E:E,E45,P:P,P45)-H45)/(COUNTIFS(E:E,E45,P:P,P45,H:H,"&gt;=0")-1)))</f>
      </c>
      <c r="S45" s="13">
        <f>IF(H45="","",IFERROR(ROUND(H45/R45,2),"—"))</f>
      </c>
      <c r="T45" s="4">
        <f>IF(H45="","",IF(S45="—","—",IF(S45&gt;=1.5,"🟢 Winner",IF(S45&lt;=0.5,"🔴 Flop","Normal"))))</f>
      </c>
      <c r="U45" s="14">
        <f>IF(I45="","",IF(I45&gt;1,I45/100,I45))</f>
      </c>
      <c r="V45" s="4">
        <f>IF((COUNTIF(Settings!$D$5:$D$34,C45)+(C45=""))*(COUNTIF(Settings!$E$5:$E$34,D45)+(D45=""))*(COUNTIF(Settings!$F$5:$F$34,E45)+(E45="")),"","⚠ Not in Settings")</f>
      </c>
      <c r="W45" s="4">
        <f>IF(H45="","",H45+ROW()/10000)</f>
      </c>
      <c r="X45" s="4">
        <f>IF(OR(A45="",W45=""),"",(INT((A45-Settings!$B$6)/7)+1)*1E10+W45)</f>
      </c>
      <c r="Y45" s="15">
        <f>IF(B45="","",IF(COUNTIF(B$5:B45,B45)=1,ROW(),""))</f>
      </c>
      <c r="Z45" s="4">
        <f>IF(H45="","",B45&amp;"|"&amp;E45)</f>
      </c>
      <c r="AA45" s="16">
        <f>IF(B45="","",IF(COUNTIF(B45:B$1000,B45)=1,A45,""))</f>
      </c>
    </row>
    <row r="46" spans="1:27" x14ac:dyDescent="0.25">
      <c r="A46" s="6"/>
      <c r="B46" s="5"/>
      <c r="C46" s="5"/>
      <c r="D46" s="5"/>
      <c r="E46" s="5"/>
      <c r="F46" s="5"/>
      <c r="G46" s="7"/>
      <c r="H46" s="7"/>
      <c r="I46" s="8"/>
      <c r="J46" s="7"/>
      <c r="K46" s="7"/>
      <c r="L46" s="7"/>
      <c r="M46" s="7"/>
      <c r="N46" s="9"/>
      <c r="O46" s="10"/>
      <c r="P46" s="4">
        <f>IF(F46="","",INDEX(Settings!$H$5:$H$9,1+(F46&gt;15)+(F46&gt;30)+(F46&gt;45)+(F46&gt;60)))</f>
      </c>
      <c r="Q46" s="11">
        <f>IFERROR((J46+K46+L46)/H46,"")</f>
      </c>
      <c r="R46" s="12">
        <f>IF(H46="","",IF(COUNTIFS(E:E,E46,P:P,P46,H:H,"&gt;=0")-1&lt;3,"Need 3+",(SUMIFS(H:H,E:E,E46,P:P,P46)-H46)/(COUNTIFS(E:E,E46,P:P,P46,H:H,"&gt;=0")-1)))</f>
      </c>
      <c r="S46" s="13">
        <f>IF(H46="","",IFERROR(ROUND(H46/R46,2),"—"))</f>
      </c>
      <c r="T46" s="4">
        <f>IF(H46="","",IF(S46="—","—",IF(S46&gt;=1.5,"🟢 Winner",IF(S46&lt;=0.5,"🔴 Flop","Normal"))))</f>
      </c>
      <c r="U46" s="14">
        <f>IF(I46="","",IF(I46&gt;1,I46/100,I46))</f>
      </c>
      <c r="V46" s="4">
        <f>IF((COUNTIF(Settings!$D$5:$D$34,C46)+(C46=""))*(COUNTIF(Settings!$E$5:$E$34,D46)+(D46=""))*(COUNTIF(Settings!$F$5:$F$34,E46)+(E46="")),"","⚠ Not in Settings")</f>
      </c>
      <c r="W46" s="4">
        <f>IF(H46="","",H46+ROW()/10000)</f>
      </c>
      <c r="X46" s="4">
        <f>IF(OR(A46="",W46=""),"",(INT((A46-Settings!$B$6)/7)+1)*1E10+W46)</f>
      </c>
      <c r="Y46" s="15">
        <f>IF(B46="","",IF(COUNTIF(B$5:B46,B46)=1,ROW(),""))</f>
      </c>
      <c r="Z46" s="4">
        <f>IF(H46="","",B46&amp;"|"&amp;E46)</f>
      </c>
      <c r="AA46" s="16">
        <f>IF(B46="","",IF(COUNTIF(B46:B$1000,B46)=1,A46,""))</f>
      </c>
    </row>
    <row r="47" spans="1:27" x14ac:dyDescent="0.25">
      <c r="A47" s="6"/>
      <c r="B47" s="5"/>
      <c r="C47" s="5"/>
      <c r="D47" s="5"/>
      <c r="E47" s="5"/>
      <c r="F47" s="5"/>
      <c r="G47" s="7"/>
      <c r="H47" s="7"/>
      <c r="I47" s="8"/>
      <c r="J47" s="7"/>
      <c r="K47" s="7"/>
      <c r="L47" s="7"/>
      <c r="M47" s="7"/>
      <c r="N47" s="9"/>
      <c r="O47" s="10"/>
      <c r="P47" s="4">
        <f>IF(F47="","",INDEX(Settings!$H$5:$H$9,1+(F47&gt;15)+(F47&gt;30)+(F47&gt;45)+(F47&gt;60)))</f>
      </c>
      <c r="Q47" s="11">
        <f>IFERROR((J47+K47+L47)/H47,"")</f>
      </c>
      <c r="R47" s="12">
        <f>IF(H47="","",IF(COUNTIFS(E:E,E47,P:P,P47,H:H,"&gt;=0")-1&lt;3,"Need 3+",(SUMIFS(H:H,E:E,E47,P:P,P47)-H47)/(COUNTIFS(E:E,E47,P:P,P47,H:H,"&gt;=0")-1)))</f>
      </c>
      <c r="S47" s="13">
        <f>IF(H47="","",IFERROR(ROUND(H47/R47,2),"—"))</f>
      </c>
      <c r="T47" s="4">
        <f>IF(H47="","",IF(S47="—","—",IF(S47&gt;=1.5,"🟢 Winner",IF(S47&lt;=0.5,"🔴 Flop","Normal"))))</f>
      </c>
      <c r="U47" s="14">
        <f>IF(I47="","",IF(I47&gt;1,I47/100,I47))</f>
      </c>
      <c r="V47" s="4">
        <f>IF((COUNTIF(Settings!$D$5:$D$34,C47)+(C47=""))*(COUNTIF(Settings!$E$5:$E$34,D47)+(D47=""))*(COUNTIF(Settings!$F$5:$F$34,E47)+(E47="")),"","⚠ Not in Settings")</f>
      </c>
      <c r="W47" s="4">
        <f>IF(H47="","",H47+ROW()/10000)</f>
      </c>
      <c r="X47" s="4">
        <f>IF(OR(A47="",W47=""),"",(INT((A47-Settings!$B$6)/7)+1)*1E10+W47)</f>
      </c>
      <c r="Y47" s="15">
        <f>IF(B47="","",IF(COUNTIF(B$5:B47,B47)=1,ROW(),""))</f>
      </c>
      <c r="Z47" s="4">
        <f>IF(H47="","",B47&amp;"|"&amp;E47)</f>
      </c>
      <c r="AA47" s="16">
        <f>IF(B47="","",IF(COUNTIF(B47:B$1000,B47)=1,A47,""))</f>
      </c>
    </row>
    <row r="48" spans="1:27" x14ac:dyDescent="0.25">
      <c r="A48" s="6"/>
      <c r="B48" s="5"/>
      <c r="C48" s="5"/>
      <c r="D48" s="5"/>
      <c r="E48" s="5"/>
      <c r="F48" s="5"/>
      <c r="G48" s="7"/>
      <c r="H48" s="7"/>
      <c r="I48" s="8"/>
      <c r="J48" s="7"/>
      <c r="K48" s="7"/>
      <c r="L48" s="7"/>
      <c r="M48" s="7"/>
      <c r="N48" s="9"/>
      <c r="O48" s="10"/>
      <c r="P48" s="4">
        <f>IF(F48="","",INDEX(Settings!$H$5:$H$9,1+(F48&gt;15)+(F48&gt;30)+(F48&gt;45)+(F48&gt;60)))</f>
      </c>
      <c r="Q48" s="11">
        <f>IFERROR((J48+K48+L48)/H48,"")</f>
      </c>
      <c r="R48" s="12">
        <f>IF(H48="","",IF(COUNTIFS(E:E,E48,P:P,P48,H:H,"&gt;=0")-1&lt;3,"Need 3+",(SUMIFS(H:H,E:E,E48,P:P,P48)-H48)/(COUNTIFS(E:E,E48,P:P,P48,H:H,"&gt;=0")-1)))</f>
      </c>
      <c r="S48" s="13">
        <f>IF(H48="","",IFERROR(ROUND(H48/R48,2),"—"))</f>
      </c>
      <c r="T48" s="4">
        <f>IF(H48="","",IF(S48="—","—",IF(S48&gt;=1.5,"🟢 Winner",IF(S48&lt;=0.5,"🔴 Flop","Normal"))))</f>
      </c>
      <c r="U48" s="14">
        <f>IF(I48="","",IF(I48&gt;1,I48/100,I48))</f>
      </c>
      <c r="V48" s="4">
        <f>IF((COUNTIF(Settings!$D$5:$D$34,C48)+(C48=""))*(COUNTIF(Settings!$E$5:$E$34,D48)+(D48=""))*(COUNTIF(Settings!$F$5:$F$34,E48)+(E48="")),"","⚠ Not in Settings")</f>
      </c>
      <c r="W48" s="4">
        <f>IF(H48="","",H48+ROW()/10000)</f>
      </c>
      <c r="X48" s="4">
        <f>IF(OR(A48="",W48=""),"",(INT((A48-Settings!$B$6)/7)+1)*1E10+W48)</f>
      </c>
      <c r="Y48" s="15">
        <f>IF(B48="","",IF(COUNTIF(B$5:B48,B48)=1,ROW(),""))</f>
      </c>
      <c r="Z48" s="4">
        <f>IF(H48="","",B48&amp;"|"&amp;E48)</f>
      </c>
      <c r="AA48" s="16">
        <f>IF(B48="","",IF(COUNTIF(B48:B$1000,B48)=1,A48,""))</f>
      </c>
    </row>
    <row r="49" spans="1:27" x14ac:dyDescent="0.25">
      <c r="A49" s="6"/>
      <c r="B49" s="5"/>
      <c r="C49" s="5"/>
      <c r="D49" s="5"/>
      <c r="E49" s="5"/>
      <c r="F49" s="5"/>
      <c r="G49" s="7"/>
      <c r="H49" s="7"/>
      <c r="I49" s="8"/>
      <c r="J49" s="7"/>
      <c r="K49" s="7"/>
      <c r="L49" s="7"/>
      <c r="M49" s="7"/>
      <c r="N49" s="9"/>
      <c r="O49" s="10"/>
      <c r="P49" s="4">
        <f>IF(F49="","",INDEX(Settings!$H$5:$H$9,1+(F49&gt;15)+(F49&gt;30)+(F49&gt;45)+(F49&gt;60)))</f>
      </c>
      <c r="Q49" s="11">
        <f>IFERROR((J49+K49+L49)/H49,"")</f>
      </c>
      <c r="R49" s="12">
        <f>IF(H49="","",IF(COUNTIFS(E:E,E49,P:P,P49,H:H,"&gt;=0")-1&lt;3,"Need 3+",(SUMIFS(H:H,E:E,E49,P:P,P49)-H49)/(COUNTIFS(E:E,E49,P:P,P49,H:H,"&gt;=0")-1)))</f>
      </c>
      <c r="S49" s="13">
        <f>IF(H49="","",IFERROR(ROUND(H49/R49,2),"—"))</f>
      </c>
      <c r="T49" s="4">
        <f>IF(H49="","",IF(S49="—","—",IF(S49&gt;=1.5,"🟢 Winner",IF(S49&lt;=0.5,"🔴 Flop","Normal"))))</f>
      </c>
      <c r="U49" s="14">
        <f>IF(I49="","",IF(I49&gt;1,I49/100,I49))</f>
      </c>
      <c r="V49" s="4">
        <f>IF((COUNTIF(Settings!$D$5:$D$34,C49)+(C49=""))*(COUNTIF(Settings!$E$5:$E$34,D49)+(D49=""))*(COUNTIF(Settings!$F$5:$F$34,E49)+(E49="")),"","⚠ Not in Settings")</f>
      </c>
      <c r="W49" s="4">
        <f>IF(H49="","",H49+ROW()/10000)</f>
      </c>
      <c r="X49" s="4">
        <f>IF(OR(A49="",W49=""),"",(INT((A49-Settings!$B$6)/7)+1)*1E10+W49)</f>
      </c>
      <c r="Y49" s="15">
        <f>IF(B49="","",IF(COUNTIF(B$5:B49,B49)=1,ROW(),""))</f>
      </c>
      <c r="Z49" s="4">
        <f>IF(H49="","",B49&amp;"|"&amp;E49)</f>
      </c>
      <c r="AA49" s="16">
        <f>IF(B49="","",IF(COUNTIF(B49:B$1000,B49)=1,A49,""))</f>
      </c>
    </row>
    <row r="50" spans="1:27" x14ac:dyDescent="0.25">
      <c r="A50" s="6"/>
      <c r="B50" s="5"/>
      <c r="C50" s="5"/>
      <c r="D50" s="5"/>
      <c r="E50" s="5"/>
      <c r="F50" s="5"/>
      <c r="G50" s="7"/>
      <c r="H50" s="7"/>
      <c r="I50" s="8"/>
      <c r="J50" s="7"/>
      <c r="K50" s="7"/>
      <c r="L50" s="7"/>
      <c r="M50" s="7"/>
      <c r="N50" s="9"/>
      <c r="O50" s="10"/>
      <c r="P50" s="4">
        <f>IF(F50="","",INDEX(Settings!$H$5:$H$9,1+(F50&gt;15)+(F50&gt;30)+(F50&gt;45)+(F50&gt;60)))</f>
      </c>
      <c r="Q50" s="11">
        <f>IFERROR((J50+K50+L50)/H50,"")</f>
      </c>
      <c r="R50" s="12">
        <f>IF(H50="","",IF(COUNTIFS(E:E,E50,P:P,P50,H:H,"&gt;=0")-1&lt;3,"Need 3+",(SUMIFS(H:H,E:E,E50,P:P,P50)-H50)/(COUNTIFS(E:E,E50,P:P,P50,H:H,"&gt;=0")-1)))</f>
      </c>
      <c r="S50" s="13">
        <f>IF(H50="","",IFERROR(ROUND(H50/R50,2),"—"))</f>
      </c>
      <c r="T50" s="4">
        <f>IF(H50="","",IF(S50="—","—",IF(S50&gt;=1.5,"🟢 Winner",IF(S50&lt;=0.5,"🔴 Flop","Normal"))))</f>
      </c>
      <c r="U50" s="14">
        <f>IF(I50="","",IF(I50&gt;1,I50/100,I50))</f>
      </c>
      <c r="V50" s="4">
        <f>IF((COUNTIF(Settings!$D$5:$D$34,C50)+(C50=""))*(COUNTIF(Settings!$E$5:$E$34,D50)+(D50=""))*(COUNTIF(Settings!$F$5:$F$34,E50)+(E50="")),"","⚠ Not in Settings")</f>
      </c>
      <c r="W50" s="4">
        <f>IF(H50="","",H50+ROW()/10000)</f>
      </c>
      <c r="X50" s="4">
        <f>IF(OR(A50="",W50=""),"",(INT((A50-Settings!$B$6)/7)+1)*1E10+W50)</f>
      </c>
      <c r="Y50" s="15">
        <f>IF(B50="","",IF(COUNTIF(B$5:B50,B50)=1,ROW(),""))</f>
      </c>
      <c r="Z50" s="4">
        <f>IF(H50="","",B50&amp;"|"&amp;E50)</f>
      </c>
      <c r="AA50" s="16">
        <f>IF(B50="","",IF(COUNTIF(B50:B$1000,B50)=1,A50,""))</f>
      </c>
    </row>
    <row r="51" spans="1:27" x14ac:dyDescent="0.25">
      <c r="A51" s="6"/>
      <c r="B51" s="5"/>
      <c r="C51" s="5"/>
      <c r="D51" s="5"/>
      <c r="E51" s="5"/>
      <c r="F51" s="5"/>
      <c r="G51" s="7"/>
      <c r="H51" s="7"/>
      <c r="I51" s="8"/>
      <c r="J51" s="7"/>
      <c r="K51" s="7"/>
      <c r="L51" s="7"/>
      <c r="M51" s="7"/>
      <c r="N51" s="9"/>
      <c r="O51" s="10"/>
      <c r="P51" s="4">
        <f>IF(F51="","",INDEX(Settings!$H$5:$H$9,1+(F51&gt;15)+(F51&gt;30)+(F51&gt;45)+(F51&gt;60)))</f>
      </c>
      <c r="Q51" s="11">
        <f>IFERROR((J51+K51+L51)/H51,"")</f>
      </c>
      <c r="R51" s="12">
        <f>IF(H51="","",IF(COUNTIFS(E:E,E51,P:P,P51,H:H,"&gt;=0")-1&lt;3,"Need 3+",(SUMIFS(H:H,E:E,E51,P:P,P51)-H51)/(COUNTIFS(E:E,E51,P:P,P51,H:H,"&gt;=0")-1)))</f>
      </c>
      <c r="S51" s="13">
        <f>IF(H51="","",IFERROR(ROUND(H51/R51,2),"—"))</f>
      </c>
      <c r="T51" s="4">
        <f>IF(H51="","",IF(S51="—","—",IF(S51&gt;=1.5,"🟢 Winner",IF(S51&lt;=0.5,"🔴 Flop","Normal"))))</f>
      </c>
      <c r="U51" s="14">
        <f>IF(I51="","",IF(I51&gt;1,I51/100,I51))</f>
      </c>
      <c r="V51" s="4">
        <f>IF((COUNTIF(Settings!$D$5:$D$34,C51)+(C51=""))*(COUNTIF(Settings!$E$5:$E$34,D51)+(D51=""))*(COUNTIF(Settings!$F$5:$F$34,E51)+(E51="")),"","⚠ Not in Settings")</f>
      </c>
      <c r="W51" s="4">
        <f>IF(H51="","",H51+ROW()/10000)</f>
      </c>
      <c r="X51" s="4">
        <f>IF(OR(A51="",W51=""),"",(INT((A51-Settings!$B$6)/7)+1)*1E10+W51)</f>
      </c>
      <c r="Y51" s="15">
        <f>IF(B51="","",IF(COUNTIF(B$5:B51,B51)=1,ROW(),""))</f>
      </c>
      <c r="Z51" s="4">
        <f>IF(H51="","",B51&amp;"|"&amp;E51)</f>
      </c>
      <c r="AA51" s="16">
        <f>IF(B51="","",IF(COUNTIF(B51:B$1000,B51)=1,A51,""))</f>
      </c>
    </row>
    <row r="52" spans="1:27" x14ac:dyDescent="0.25">
      <c r="A52" s="6"/>
      <c r="B52" s="5"/>
      <c r="C52" s="5"/>
      <c r="D52" s="5"/>
      <c r="E52" s="5"/>
      <c r="F52" s="5"/>
      <c r="G52" s="7"/>
      <c r="H52" s="7"/>
      <c r="I52" s="8"/>
      <c r="J52" s="7"/>
      <c r="K52" s="7"/>
      <c r="L52" s="7"/>
      <c r="M52" s="7"/>
      <c r="N52" s="9"/>
      <c r="O52" s="10"/>
      <c r="P52" s="4">
        <f>IF(F52="","",INDEX(Settings!$H$5:$H$9,1+(F52&gt;15)+(F52&gt;30)+(F52&gt;45)+(F52&gt;60)))</f>
      </c>
      <c r="Q52" s="11">
        <f>IFERROR((J52+K52+L52)/H52,"")</f>
      </c>
      <c r="R52" s="12">
        <f>IF(H52="","",IF(COUNTIFS(E:E,E52,P:P,P52,H:H,"&gt;=0")-1&lt;3,"Need 3+",(SUMIFS(H:H,E:E,E52,P:P,P52)-H52)/(COUNTIFS(E:E,E52,P:P,P52,H:H,"&gt;=0")-1)))</f>
      </c>
      <c r="S52" s="13">
        <f>IF(H52="","",IFERROR(ROUND(H52/R52,2),"—"))</f>
      </c>
      <c r="T52" s="4">
        <f>IF(H52="","",IF(S52="—","—",IF(S52&gt;=1.5,"🟢 Winner",IF(S52&lt;=0.5,"🔴 Flop","Normal"))))</f>
      </c>
      <c r="U52" s="14">
        <f>IF(I52="","",IF(I52&gt;1,I52/100,I52))</f>
      </c>
      <c r="V52" s="4">
        <f>IF((COUNTIF(Settings!$D$5:$D$34,C52)+(C52=""))*(COUNTIF(Settings!$E$5:$E$34,D52)+(D52=""))*(COUNTIF(Settings!$F$5:$F$34,E52)+(E52="")),"","⚠ Not in Settings")</f>
      </c>
      <c r="W52" s="4">
        <f>IF(H52="","",H52+ROW()/10000)</f>
      </c>
      <c r="X52" s="4">
        <f>IF(OR(A52="",W52=""),"",(INT((A52-Settings!$B$6)/7)+1)*1E10+W52)</f>
      </c>
      <c r="Y52" s="15">
        <f>IF(B52="","",IF(COUNTIF(B$5:B52,B52)=1,ROW(),""))</f>
      </c>
      <c r="Z52" s="4">
        <f>IF(H52="","",B52&amp;"|"&amp;E52)</f>
      </c>
      <c r="AA52" s="16">
        <f>IF(B52="","",IF(COUNTIF(B52:B$1000,B52)=1,A52,""))</f>
      </c>
    </row>
    <row r="53" spans="1:27" x14ac:dyDescent="0.25">
      <c r="A53" s="6"/>
      <c r="B53" s="5"/>
      <c r="C53" s="5"/>
      <c r="D53" s="5"/>
      <c r="E53" s="5"/>
      <c r="F53" s="5"/>
      <c r="G53" s="7"/>
      <c r="H53" s="7"/>
      <c r="I53" s="8"/>
      <c r="J53" s="7"/>
      <c r="K53" s="7"/>
      <c r="L53" s="7"/>
      <c r="M53" s="7"/>
      <c r="N53" s="9"/>
      <c r="O53" s="10"/>
      <c r="P53" s="4">
        <f>IF(F53="","",INDEX(Settings!$H$5:$H$9,1+(F53&gt;15)+(F53&gt;30)+(F53&gt;45)+(F53&gt;60)))</f>
      </c>
      <c r="Q53" s="11">
        <f>IFERROR((J53+K53+L53)/H53,"")</f>
      </c>
      <c r="R53" s="12">
        <f>IF(H53="","",IF(COUNTIFS(E:E,E53,P:P,P53,H:H,"&gt;=0")-1&lt;3,"Need 3+",(SUMIFS(H:H,E:E,E53,P:P,P53)-H53)/(COUNTIFS(E:E,E53,P:P,P53,H:H,"&gt;=0")-1)))</f>
      </c>
      <c r="S53" s="13">
        <f>IF(H53="","",IFERROR(ROUND(H53/R53,2),"—"))</f>
      </c>
      <c r="T53" s="4">
        <f>IF(H53="","",IF(S53="—","—",IF(S53&gt;=1.5,"🟢 Winner",IF(S53&lt;=0.5,"🔴 Flop","Normal"))))</f>
      </c>
      <c r="U53" s="14">
        <f>IF(I53="","",IF(I53&gt;1,I53/100,I53))</f>
      </c>
      <c r="V53" s="4">
        <f>IF((COUNTIF(Settings!$D$5:$D$34,C53)+(C53=""))*(COUNTIF(Settings!$E$5:$E$34,D53)+(D53=""))*(COUNTIF(Settings!$F$5:$F$34,E53)+(E53="")),"","⚠ Not in Settings")</f>
      </c>
      <c r="W53" s="4">
        <f>IF(H53="","",H53+ROW()/10000)</f>
      </c>
      <c r="X53" s="4">
        <f>IF(OR(A53="",W53=""),"",(INT((A53-Settings!$B$6)/7)+1)*1E10+W53)</f>
      </c>
      <c r="Y53" s="15">
        <f>IF(B53="","",IF(COUNTIF(B$5:B53,B53)=1,ROW(),""))</f>
      </c>
      <c r="Z53" s="4">
        <f>IF(H53="","",B53&amp;"|"&amp;E53)</f>
      </c>
      <c r="AA53" s="16">
        <f>IF(B53="","",IF(COUNTIF(B53:B$1000,B53)=1,A53,""))</f>
      </c>
    </row>
    <row r="54" spans="1:27" x14ac:dyDescent="0.25">
      <c r="A54" s="6"/>
      <c r="B54" s="5"/>
      <c r="C54" s="5"/>
      <c r="D54" s="5"/>
      <c r="E54" s="5"/>
      <c r="F54" s="5"/>
      <c r="G54" s="7"/>
      <c r="H54" s="7"/>
      <c r="I54" s="8"/>
      <c r="J54" s="7"/>
      <c r="K54" s="7"/>
      <c r="L54" s="7"/>
      <c r="M54" s="7"/>
      <c r="N54" s="9"/>
      <c r="O54" s="10"/>
      <c r="P54" s="4">
        <f>IF(F54="","",INDEX(Settings!$H$5:$H$9,1+(F54&gt;15)+(F54&gt;30)+(F54&gt;45)+(F54&gt;60)))</f>
      </c>
      <c r="Q54" s="11">
        <f>IFERROR((J54+K54+L54)/H54,"")</f>
      </c>
      <c r="R54" s="12">
        <f>IF(H54="","",IF(COUNTIFS(E:E,E54,P:P,P54,H:H,"&gt;=0")-1&lt;3,"Need 3+",(SUMIFS(H:H,E:E,E54,P:P,P54)-H54)/(COUNTIFS(E:E,E54,P:P,P54,H:H,"&gt;=0")-1)))</f>
      </c>
      <c r="S54" s="13">
        <f>IF(H54="","",IFERROR(ROUND(H54/R54,2),"—"))</f>
      </c>
      <c r="T54" s="4">
        <f>IF(H54="","",IF(S54="—","—",IF(S54&gt;=1.5,"🟢 Winner",IF(S54&lt;=0.5,"🔴 Flop","Normal"))))</f>
      </c>
      <c r="U54" s="14">
        <f>IF(I54="","",IF(I54&gt;1,I54/100,I54))</f>
      </c>
      <c r="V54" s="4">
        <f>IF((COUNTIF(Settings!$D$5:$D$34,C54)+(C54=""))*(COUNTIF(Settings!$E$5:$E$34,D54)+(D54=""))*(COUNTIF(Settings!$F$5:$F$34,E54)+(E54="")),"","⚠ Not in Settings")</f>
      </c>
      <c r="W54" s="4">
        <f>IF(H54="","",H54+ROW()/10000)</f>
      </c>
      <c r="X54" s="4">
        <f>IF(OR(A54="",W54=""),"",(INT((A54-Settings!$B$6)/7)+1)*1E10+W54)</f>
      </c>
      <c r="Y54" s="15">
        <f>IF(B54="","",IF(COUNTIF(B$5:B54,B54)=1,ROW(),""))</f>
      </c>
      <c r="Z54" s="4">
        <f>IF(H54="","",B54&amp;"|"&amp;E54)</f>
      </c>
      <c r="AA54" s="16">
        <f>IF(B54="","",IF(COUNTIF(B54:B$1000,B54)=1,A54,""))</f>
      </c>
    </row>
    <row r="55" spans="1:27" x14ac:dyDescent="0.25">
      <c r="A55" s="6"/>
      <c r="B55" s="5"/>
      <c r="C55" s="5"/>
      <c r="D55" s="5"/>
      <c r="E55" s="5"/>
      <c r="F55" s="5"/>
      <c r="G55" s="7"/>
      <c r="H55" s="7"/>
      <c r="I55" s="8"/>
      <c r="J55" s="7"/>
      <c r="K55" s="7"/>
      <c r="L55" s="7"/>
      <c r="M55" s="7"/>
      <c r="N55" s="9"/>
      <c r="O55" s="10"/>
      <c r="P55" s="4">
        <f>IF(F55="","",INDEX(Settings!$H$5:$H$9,1+(F55&gt;15)+(F55&gt;30)+(F55&gt;45)+(F55&gt;60)))</f>
      </c>
      <c r="Q55" s="11">
        <f>IFERROR((J55+K55+L55)/H55,"")</f>
      </c>
      <c r="R55" s="12">
        <f>IF(H55="","",IF(COUNTIFS(E:E,E55,P:P,P55,H:H,"&gt;=0")-1&lt;3,"Need 3+",(SUMIFS(H:H,E:E,E55,P:P,P55)-H55)/(COUNTIFS(E:E,E55,P:P,P55,H:H,"&gt;=0")-1)))</f>
      </c>
      <c r="S55" s="13">
        <f>IF(H55="","",IFERROR(ROUND(H55/R55,2),"—"))</f>
      </c>
      <c r="T55" s="4">
        <f>IF(H55="","",IF(S55="—","—",IF(S55&gt;=1.5,"🟢 Winner",IF(S55&lt;=0.5,"🔴 Flop","Normal"))))</f>
      </c>
      <c r="U55" s="14">
        <f>IF(I55="","",IF(I55&gt;1,I55/100,I55))</f>
      </c>
      <c r="V55" s="4">
        <f>IF((COUNTIF(Settings!$D$5:$D$34,C55)+(C55=""))*(COUNTIF(Settings!$E$5:$E$34,D55)+(D55=""))*(COUNTIF(Settings!$F$5:$F$34,E55)+(E55="")),"","⚠ Not in Settings")</f>
      </c>
      <c r="W55" s="4">
        <f>IF(H55="","",H55+ROW()/10000)</f>
      </c>
      <c r="X55" s="4">
        <f>IF(OR(A55="",W55=""),"",(INT((A55-Settings!$B$6)/7)+1)*1E10+W55)</f>
      </c>
      <c r="Y55" s="15">
        <f>IF(B55="","",IF(COUNTIF(B$5:B55,B55)=1,ROW(),""))</f>
      </c>
      <c r="Z55" s="4">
        <f>IF(H55="","",B55&amp;"|"&amp;E55)</f>
      </c>
      <c r="AA55" s="16">
        <f>IF(B55="","",IF(COUNTIF(B55:B$1000,B55)=1,A55,""))</f>
      </c>
    </row>
    <row r="56" spans="1:27" x14ac:dyDescent="0.25">
      <c r="A56" s="6"/>
      <c r="B56" s="5"/>
      <c r="C56" s="5"/>
      <c r="D56" s="5"/>
      <c r="E56" s="5"/>
      <c r="F56" s="5"/>
      <c r="G56" s="7"/>
      <c r="H56" s="7"/>
      <c r="I56" s="8"/>
      <c r="J56" s="7"/>
      <c r="K56" s="7"/>
      <c r="L56" s="7"/>
      <c r="M56" s="7"/>
      <c r="N56" s="9"/>
      <c r="O56" s="10"/>
      <c r="P56" s="4">
        <f>IF(F56="","",INDEX(Settings!$H$5:$H$9,1+(F56&gt;15)+(F56&gt;30)+(F56&gt;45)+(F56&gt;60)))</f>
      </c>
      <c r="Q56" s="11">
        <f>IFERROR((J56+K56+L56)/H56,"")</f>
      </c>
      <c r="R56" s="12">
        <f>IF(H56="","",IF(COUNTIFS(E:E,E56,P:P,P56,H:H,"&gt;=0")-1&lt;3,"Need 3+",(SUMIFS(H:H,E:E,E56,P:P,P56)-H56)/(COUNTIFS(E:E,E56,P:P,P56,H:H,"&gt;=0")-1)))</f>
      </c>
      <c r="S56" s="13">
        <f>IF(H56="","",IFERROR(ROUND(H56/R56,2),"—"))</f>
      </c>
      <c r="T56" s="4">
        <f>IF(H56="","",IF(S56="—","—",IF(S56&gt;=1.5,"🟢 Winner",IF(S56&lt;=0.5,"🔴 Flop","Normal"))))</f>
      </c>
      <c r="U56" s="14">
        <f>IF(I56="","",IF(I56&gt;1,I56/100,I56))</f>
      </c>
      <c r="V56" s="4">
        <f>IF((COUNTIF(Settings!$D$5:$D$34,C56)+(C56=""))*(COUNTIF(Settings!$E$5:$E$34,D56)+(D56=""))*(COUNTIF(Settings!$F$5:$F$34,E56)+(E56="")),"","⚠ Not in Settings")</f>
      </c>
      <c r="W56" s="4">
        <f>IF(H56="","",H56+ROW()/10000)</f>
      </c>
      <c r="X56" s="4">
        <f>IF(OR(A56="",W56=""),"",(INT((A56-Settings!$B$6)/7)+1)*1E10+W56)</f>
      </c>
      <c r="Y56" s="15">
        <f>IF(B56="","",IF(COUNTIF(B$5:B56,B56)=1,ROW(),""))</f>
      </c>
      <c r="Z56" s="4">
        <f>IF(H56="","",B56&amp;"|"&amp;E56)</f>
      </c>
      <c r="AA56" s="16">
        <f>IF(B56="","",IF(COUNTIF(B56:B$1000,B56)=1,A56,""))</f>
      </c>
    </row>
    <row r="57" spans="1:27" x14ac:dyDescent="0.25">
      <c r="A57" s="6"/>
      <c r="B57" s="5"/>
      <c r="C57" s="5"/>
      <c r="D57" s="5"/>
      <c r="E57" s="5"/>
      <c r="F57" s="5"/>
      <c r="G57" s="7"/>
      <c r="H57" s="7"/>
      <c r="I57" s="8"/>
      <c r="J57" s="7"/>
      <c r="K57" s="7"/>
      <c r="L57" s="7"/>
      <c r="M57" s="7"/>
      <c r="N57" s="9"/>
      <c r="O57" s="10"/>
      <c r="P57" s="4">
        <f>IF(F57="","",INDEX(Settings!$H$5:$H$9,1+(F57&gt;15)+(F57&gt;30)+(F57&gt;45)+(F57&gt;60)))</f>
      </c>
      <c r="Q57" s="11">
        <f>IFERROR((J57+K57+L57)/H57,"")</f>
      </c>
      <c r="R57" s="12">
        <f>IF(H57="","",IF(COUNTIFS(E:E,E57,P:P,P57,H:H,"&gt;=0")-1&lt;3,"Need 3+",(SUMIFS(H:H,E:E,E57,P:P,P57)-H57)/(COUNTIFS(E:E,E57,P:P,P57,H:H,"&gt;=0")-1)))</f>
      </c>
      <c r="S57" s="13">
        <f>IF(H57="","",IFERROR(ROUND(H57/R57,2),"—"))</f>
      </c>
      <c r="T57" s="4">
        <f>IF(H57="","",IF(S57="—","—",IF(S57&gt;=1.5,"🟢 Winner",IF(S57&lt;=0.5,"🔴 Flop","Normal"))))</f>
      </c>
      <c r="U57" s="14">
        <f>IF(I57="","",IF(I57&gt;1,I57/100,I57))</f>
      </c>
      <c r="V57" s="4">
        <f>IF((COUNTIF(Settings!$D$5:$D$34,C57)+(C57=""))*(COUNTIF(Settings!$E$5:$E$34,D57)+(D57=""))*(COUNTIF(Settings!$F$5:$F$34,E57)+(E57="")),"","⚠ Not in Settings")</f>
      </c>
      <c r="W57" s="4">
        <f>IF(H57="","",H57+ROW()/10000)</f>
      </c>
      <c r="X57" s="4">
        <f>IF(OR(A57="",W57=""),"",(INT((A57-Settings!$B$6)/7)+1)*1E10+W57)</f>
      </c>
      <c r="Y57" s="15">
        <f>IF(B57="","",IF(COUNTIF(B$5:B57,B57)=1,ROW(),""))</f>
      </c>
      <c r="Z57" s="4">
        <f>IF(H57="","",B57&amp;"|"&amp;E57)</f>
      </c>
      <c r="AA57" s="16">
        <f>IF(B57="","",IF(COUNTIF(B57:B$1000,B57)=1,A57,""))</f>
      </c>
    </row>
    <row r="58" spans="1:27" x14ac:dyDescent="0.25">
      <c r="A58" s="6"/>
      <c r="B58" s="5"/>
      <c r="C58" s="5"/>
      <c r="D58" s="5"/>
      <c r="E58" s="5"/>
      <c r="F58" s="5"/>
      <c r="G58" s="7"/>
      <c r="H58" s="7"/>
      <c r="I58" s="8"/>
      <c r="J58" s="7"/>
      <c r="K58" s="7"/>
      <c r="L58" s="7"/>
      <c r="M58" s="7"/>
      <c r="N58" s="9"/>
      <c r="O58" s="10"/>
      <c r="P58" s="4">
        <f>IF(F58="","",INDEX(Settings!$H$5:$H$9,1+(F58&gt;15)+(F58&gt;30)+(F58&gt;45)+(F58&gt;60)))</f>
      </c>
      <c r="Q58" s="11">
        <f>IFERROR((J58+K58+L58)/H58,"")</f>
      </c>
      <c r="R58" s="12">
        <f>IF(H58="","",IF(COUNTIFS(E:E,E58,P:P,P58,H:H,"&gt;=0")-1&lt;3,"Need 3+",(SUMIFS(H:H,E:E,E58,P:P,P58)-H58)/(COUNTIFS(E:E,E58,P:P,P58,H:H,"&gt;=0")-1)))</f>
      </c>
      <c r="S58" s="13">
        <f>IF(H58="","",IFERROR(ROUND(H58/R58,2),"—"))</f>
      </c>
      <c r="T58" s="4">
        <f>IF(H58="","",IF(S58="—","—",IF(S58&gt;=1.5,"🟢 Winner",IF(S58&lt;=0.5,"🔴 Flop","Normal"))))</f>
      </c>
      <c r="U58" s="14">
        <f>IF(I58="","",IF(I58&gt;1,I58/100,I58))</f>
      </c>
      <c r="V58" s="4">
        <f>IF((COUNTIF(Settings!$D$5:$D$34,C58)+(C58=""))*(COUNTIF(Settings!$E$5:$E$34,D58)+(D58=""))*(COUNTIF(Settings!$F$5:$F$34,E58)+(E58="")),"","⚠ Not in Settings")</f>
      </c>
      <c r="W58" s="4">
        <f>IF(H58="","",H58+ROW()/10000)</f>
      </c>
      <c r="X58" s="4">
        <f>IF(OR(A58="",W58=""),"",(INT((A58-Settings!$B$6)/7)+1)*1E10+W58)</f>
      </c>
      <c r="Y58" s="15">
        <f>IF(B58="","",IF(COUNTIF(B$5:B58,B58)=1,ROW(),""))</f>
      </c>
      <c r="Z58" s="4">
        <f>IF(H58="","",B58&amp;"|"&amp;E58)</f>
      </c>
      <c r="AA58" s="16">
        <f>IF(B58="","",IF(COUNTIF(B58:B$1000,B58)=1,A58,""))</f>
      </c>
    </row>
    <row r="59" spans="1:27" x14ac:dyDescent="0.25">
      <c r="A59" s="6"/>
      <c r="B59" s="5"/>
      <c r="C59" s="5"/>
      <c r="D59" s="5"/>
      <c r="E59" s="5"/>
      <c r="F59" s="5"/>
      <c r="G59" s="7"/>
      <c r="H59" s="7"/>
      <c r="I59" s="8"/>
      <c r="J59" s="7"/>
      <c r="K59" s="7"/>
      <c r="L59" s="7"/>
      <c r="M59" s="7"/>
      <c r="N59" s="9"/>
      <c r="O59" s="10"/>
      <c r="P59" s="4">
        <f>IF(F59="","",INDEX(Settings!$H$5:$H$9,1+(F59&gt;15)+(F59&gt;30)+(F59&gt;45)+(F59&gt;60)))</f>
      </c>
      <c r="Q59" s="11">
        <f>IFERROR((J59+K59+L59)/H59,"")</f>
      </c>
      <c r="R59" s="12">
        <f>IF(H59="","",IF(COUNTIFS(E:E,E59,P:P,P59,H:H,"&gt;=0")-1&lt;3,"Need 3+",(SUMIFS(H:H,E:E,E59,P:P,P59)-H59)/(COUNTIFS(E:E,E59,P:P,P59,H:H,"&gt;=0")-1)))</f>
      </c>
      <c r="S59" s="13">
        <f>IF(H59="","",IFERROR(ROUND(H59/R59,2),"—"))</f>
      </c>
      <c r="T59" s="4">
        <f>IF(H59="","",IF(S59="—","—",IF(S59&gt;=1.5,"🟢 Winner",IF(S59&lt;=0.5,"🔴 Flop","Normal"))))</f>
      </c>
      <c r="U59" s="14">
        <f>IF(I59="","",IF(I59&gt;1,I59/100,I59))</f>
      </c>
      <c r="V59" s="4">
        <f>IF((COUNTIF(Settings!$D$5:$D$34,C59)+(C59=""))*(COUNTIF(Settings!$E$5:$E$34,D59)+(D59=""))*(COUNTIF(Settings!$F$5:$F$34,E59)+(E59="")),"","⚠ Not in Settings")</f>
      </c>
      <c r="W59" s="4">
        <f>IF(H59="","",H59+ROW()/10000)</f>
      </c>
      <c r="X59" s="4">
        <f>IF(OR(A59="",W59=""),"",(INT((A59-Settings!$B$6)/7)+1)*1E10+W59)</f>
      </c>
      <c r="Y59" s="15">
        <f>IF(B59="","",IF(COUNTIF(B$5:B59,B59)=1,ROW(),""))</f>
      </c>
      <c r="Z59" s="4">
        <f>IF(H59="","",B59&amp;"|"&amp;E59)</f>
      </c>
      <c r="AA59" s="16">
        <f>IF(B59="","",IF(COUNTIF(B59:B$1000,B59)=1,A59,""))</f>
      </c>
    </row>
    <row r="60" spans="1:27" x14ac:dyDescent="0.25">
      <c r="A60" s="6"/>
      <c r="B60" s="5"/>
      <c r="C60" s="5"/>
      <c r="D60" s="5"/>
      <c r="E60" s="5"/>
      <c r="F60" s="5"/>
      <c r="G60" s="7"/>
      <c r="H60" s="7"/>
      <c r="I60" s="8"/>
      <c r="J60" s="7"/>
      <c r="K60" s="7"/>
      <c r="L60" s="7"/>
      <c r="M60" s="7"/>
      <c r="N60" s="9"/>
      <c r="O60" s="10"/>
      <c r="P60" s="4">
        <f>IF(F60="","",INDEX(Settings!$H$5:$H$9,1+(F60&gt;15)+(F60&gt;30)+(F60&gt;45)+(F60&gt;60)))</f>
      </c>
      <c r="Q60" s="11">
        <f>IFERROR((J60+K60+L60)/H60,"")</f>
      </c>
      <c r="R60" s="12">
        <f>IF(H60="","",IF(COUNTIFS(E:E,E60,P:P,P60,H:H,"&gt;=0")-1&lt;3,"Need 3+",(SUMIFS(H:H,E:E,E60,P:P,P60)-H60)/(COUNTIFS(E:E,E60,P:P,P60,H:H,"&gt;=0")-1)))</f>
      </c>
      <c r="S60" s="13">
        <f>IF(H60="","",IFERROR(ROUND(H60/R60,2),"—"))</f>
      </c>
      <c r="T60" s="4">
        <f>IF(H60="","",IF(S60="—","—",IF(S60&gt;=1.5,"🟢 Winner",IF(S60&lt;=0.5,"🔴 Flop","Normal"))))</f>
      </c>
      <c r="U60" s="14">
        <f>IF(I60="","",IF(I60&gt;1,I60/100,I60))</f>
      </c>
      <c r="V60" s="4">
        <f>IF((COUNTIF(Settings!$D$5:$D$34,C60)+(C60=""))*(COUNTIF(Settings!$E$5:$E$34,D60)+(D60=""))*(COUNTIF(Settings!$F$5:$F$34,E60)+(E60="")),"","⚠ Not in Settings")</f>
      </c>
      <c r="W60" s="4">
        <f>IF(H60="","",H60+ROW()/10000)</f>
      </c>
      <c r="X60" s="4">
        <f>IF(OR(A60="",W60=""),"",(INT((A60-Settings!$B$6)/7)+1)*1E10+W60)</f>
      </c>
      <c r="Y60" s="15">
        <f>IF(B60="","",IF(COUNTIF(B$5:B60,B60)=1,ROW(),""))</f>
      </c>
      <c r="Z60" s="4">
        <f>IF(H60="","",B60&amp;"|"&amp;E60)</f>
      </c>
      <c r="AA60" s="16">
        <f>IF(B60="","",IF(COUNTIF(B60:B$1000,B60)=1,A60,""))</f>
      </c>
    </row>
    <row r="61" spans="1:27" x14ac:dyDescent="0.25">
      <c r="A61" s="6"/>
      <c r="B61" s="5"/>
      <c r="C61" s="5"/>
      <c r="D61" s="5"/>
      <c r="E61" s="5"/>
      <c r="F61" s="5"/>
      <c r="G61" s="7"/>
      <c r="H61" s="7"/>
      <c r="I61" s="8"/>
      <c r="J61" s="7"/>
      <c r="K61" s="7"/>
      <c r="L61" s="7"/>
      <c r="M61" s="7"/>
      <c r="N61" s="9"/>
      <c r="O61" s="10"/>
      <c r="P61" s="4">
        <f>IF(F61="","",INDEX(Settings!$H$5:$H$9,1+(F61&gt;15)+(F61&gt;30)+(F61&gt;45)+(F61&gt;60)))</f>
      </c>
      <c r="Q61" s="11">
        <f>IFERROR((J61+K61+L61)/H61,"")</f>
      </c>
      <c r="R61" s="12">
        <f>IF(H61="","",IF(COUNTIFS(E:E,E61,P:P,P61,H:H,"&gt;=0")-1&lt;3,"Need 3+",(SUMIFS(H:H,E:E,E61,P:P,P61)-H61)/(COUNTIFS(E:E,E61,P:P,P61,H:H,"&gt;=0")-1)))</f>
      </c>
      <c r="S61" s="13">
        <f>IF(H61="","",IFERROR(ROUND(H61/R61,2),"—"))</f>
      </c>
      <c r="T61" s="4">
        <f>IF(H61="","",IF(S61="—","—",IF(S61&gt;=1.5,"🟢 Winner",IF(S61&lt;=0.5,"🔴 Flop","Normal"))))</f>
      </c>
      <c r="U61" s="14">
        <f>IF(I61="","",IF(I61&gt;1,I61/100,I61))</f>
      </c>
      <c r="V61" s="4">
        <f>IF((COUNTIF(Settings!$D$5:$D$34,C61)+(C61=""))*(COUNTIF(Settings!$E$5:$E$34,D61)+(D61=""))*(COUNTIF(Settings!$F$5:$F$34,E61)+(E61="")),"","⚠ Not in Settings")</f>
      </c>
      <c r="W61" s="4">
        <f>IF(H61="","",H61+ROW()/10000)</f>
      </c>
      <c r="X61" s="4">
        <f>IF(OR(A61="",W61=""),"",(INT((A61-Settings!$B$6)/7)+1)*1E10+W61)</f>
      </c>
      <c r="Y61" s="15">
        <f>IF(B61="","",IF(COUNTIF(B$5:B61,B61)=1,ROW(),""))</f>
      </c>
      <c r="Z61" s="4">
        <f>IF(H61="","",B61&amp;"|"&amp;E61)</f>
      </c>
      <c r="AA61" s="16">
        <f>IF(B61="","",IF(COUNTIF(B61:B$1000,B61)=1,A61,""))</f>
      </c>
    </row>
    <row r="62" spans="1:27" x14ac:dyDescent="0.25">
      <c r="A62" s="6"/>
      <c r="B62" s="5"/>
      <c r="C62" s="5"/>
      <c r="D62" s="5"/>
      <c r="E62" s="5"/>
      <c r="F62" s="5"/>
      <c r="G62" s="7"/>
      <c r="H62" s="7"/>
      <c r="I62" s="8"/>
      <c r="J62" s="7"/>
      <c r="K62" s="7"/>
      <c r="L62" s="7"/>
      <c r="M62" s="7"/>
      <c r="N62" s="9"/>
      <c r="O62" s="10"/>
      <c r="P62" s="4">
        <f>IF(F62="","",INDEX(Settings!$H$5:$H$9,1+(F62&gt;15)+(F62&gt;30)+(F62&gt;45)+(F62&gt;60)))</f>
      </c>
      <c r="Q62" s="11">
        <f>IFERROR((J62+K62+L62)/H62,"")</f>
      </c>
      <c r="R62" s="12">
        <f>IF(H62="","",IF(COUNTIFS(E:E,E62,P:P,P62,H:H,"&gt;=0")-1&lt;3,"Need 3+",(SUMIFS(H:H,E:E,E62,P:P,P62)-H62)/(COUNTIFS(E:E,E62,P:P,P62,H:H,"&gt;=0")-1)))</f>
      </c>
      <c r="S62" s="13">
        <f>IF(H62="","",IFERROR(ROUND(H62/R62,2),"—"))</f>
      </c>
      <c r="T62" s="4">
        <f>IF(H62="","",IF(S62="—","—",IF(S62&gt;=1.5,"🟢 Winner",IF(S62&lt;=0.5,"🔴 Flop","Normal"))))</f>
      </c>
      <c r="U62" s="14">
        <f>IF(I62="","",IF(I62&gt;1,I62/100,I62))</f>
      </c>
      <c r="V62" s="4">
        <f>IF((COUNTIF(Settings!$D$5:$D$34,C62)+(C62=""))*(COUNTIF(Settings!$E$5:$E$34,D62)+(D62=""))*(COUNTIF(Settings!$F$5:$F$34,E62)+(E62="")),"","⚠ Not in Settings")</f>
      </c>
      <c r="W62" s="4">
        <f>IF(H62="","",H62+ROW()/10000)</f>
      </c>
      <c r="X62" s="4">
        <f>IF(OR(A62="",W62=""),"",(INT((A62-Settings!$B$6)/7)+1)*1E10+W62)</f>
      </c>
      <c r="Y62" s="15">
        <f>IF(B62="","",IF(COUNTIF(B$5:B62,B62)=1,ROW(),""))</f>
      </c>
      <c r="Z62" s="4">
        <f>IF(H62="","",B62&amp;"|"&amp;E62)</f>
      </c>
      <c r="AA62" s="16">
        <f>IF(B62="","",IF(COUNTIF(B62:B$1000,B62)=1,A62,""))</f>
      </c>
    </row>
    <row r="63" spans="1:27" x14ac:dyDescent="0.25">
      <c r="A63" s="6"/>
      <c r="B63" s="5"/>
      <c r="C63" s="5"/>
      <c r="D63" s="5"/>
      <c r="E63" s="5"/>
      <c r="F63" s="5"/>
      <c r="G63" s="7"/>
      <c r="H63" s="7"/>
      <c r="I63" s="8"/>
      <c r="J63" s="7"/>
      <c r="K63" s="7"/>
      <c r="L63" s="7"/>
      <c r="M63" s="7"/>
      <c r="N63" s="9"/>
      <c r="O63" s="10"/>
      <c r="P63" s="4">
        <f>IF(F63="","",INDEX(Settings!$H$5:$H$9,1+(F63&gt;15)+(F63&gt;30)+(F63&gt;45)+(F63&gt;60)))</f>
      </c>
      <c r="Q63" s="11">
        <f>IFERROR((J63+K63+L63)/H63,"")</f>
      </c>
      <c r="R63" s="12">
        <f>IF(H63="","",IF(COUNTIFS(E:E,E63,P:P,P63,H:H,"&gt;=0")-1&lt;3,"Need 3+",(SUMIFS(H:H,E:E,E63,P:P,P63)-H63)/(COUNTIFS(E:E,E63,P:P,P63,H:H,"&gt;=0")-1)))</f>
      </c>
      <c r="S63" s="13">
        <f>IF(H63="","",IFERROR(ROUND(H63/R63,2),"—"))</f>
      </c>
      <c r="T63" s="4">
        <f>IF(H63="","",IF(S63="—","—",IF(S63&gt;=1.5,"🟢 Winner",IF(S63&lt;=0.5,"🔴 Flop","Normal"))))</f>
      </c>
      <c r="U63" s="14">
        <f>IF(I63="","",IF(I63&gt;1,I63/100,I63))</f>
      </c>
      <c r="V63" s="4">
        <f>IF((COUNTIF(Settings!$D$5:$D$34,C63)+(C63=""))*(COUNTIF(Settings!$E$5:$E$34,D63)+(D63=""))*(COUNTIF(Settings!$F$5:$F$34,E63)+(E63="")),"","⚠ Not in Settings")</f>
      </c>
      <c r="W63" s="4">
        <f>IF(H63="","",H63+ROW()/10000)</f>
      </c>
      <c r="X63" s="4">
        <f>IF(OR(A63="",W63=""),"",(INT((A63-Settings!$B$6)/7)+1)*1E10+W63)</f>
      </c>
      <c r="Y63" s="15">
        <f>IF(B63="","",IF(COUNTIF(B$5:B63,B63)=1,ROW(),""))</f>
      </c>
      <c r="Z63" s="4">
        <f>IF(H63="","",B63&amp;"|"&amp;E63)</f>
      </c>
      <c r="AA63" s="16">
        <f>IF(B63="","",IF(COUNTIF(B63:B$1000,B63)=1,A63,""))</f>
      </c>
    </row>
    <row r="64" spans="1:27" x14ac:dyDescent="0.25">
      <c r="A64" s="6"/>
      <c r="B64" s="5"/>
      <c r="C64" s="5"/>
      <c r="D64" s="5"/>
      <c r="E64" s="5"/>
      <c r="F64" s="5"/>
      <c r="G64" s="7"/>
      <c r="H64" s="7"/>
      <c r="I64" s="8"/>
      <c r="J64" s="7"/>
      <c r="K64" s="7"/>
      <c r="L64" s="7"/>
      <c r="M64" s="7"/>
      <c r="N64" s="9"/>
      <c r="O64" s="10"/>
      <c r="P64" s="4">
        <f>IF(F64="","",INDEX(Settings!$H$5:$H$9,1+(F64&gt;15)+(F64&gt;30)+(F64&gt;45)+(F64&gt;60)))</f>
      </c>
      <c r="Q64" s="11">
        <f>IFERROR((J64+K64+L64)/H64,"")</f>
      </c>
      <c r="R64" s="12">
        <f>IF(H64="","",IF(COUNTIFS(E:E,E64,P:P,P64,H:H,"&gt;=0")-1&lt;3,"Need 3+",(SUMIFS(H:H,E:E,E64,P:P,P64)-H64)/(COUNTIFS(E:E,E64,P:P,P64,H:H,"&gt;=0")-1)))</f>
      </c>
      <c r="S64" s="13">
        <f>IF(H64="","",IFERROR(ROUND(H64/R64,2),"—"))</f>
      </c>
      <c r="T64" s="4">
        <f>IF(H64="","",IF(S64="—","—",IF(S64&gt;=1.5,"🟢 Winner",IF(S64&lt;=0.5,"🔴 Flop","Normal"))))</f>
      </c>
      <c r="U64" s="14">
        <f>IF(I64="","",IF(I64&gt;1,I64/100,I64))</f>
      </c>
      <c r="V64" s="4">
        <f>IF((COUNTIF(Settings!$D$5:$D$34,C64)+(C64=""))*(COUNTIF(Settings!$E$5:$E$34,D64)+(D64=""))*(COUNTIF(Settings!$F$5:$F$34,E64)+(E64="")),"","⚠ Not in Settings")</f>
      </c>
      <c r="W64" s="4">
        <f>IF(H64="","",H64+ROW()/10000)</f>
      </c>
      <c r="X64" s="4">
        <f>IF(OR(A64="",W64=""),"",(INT((A64-Settings!$B$6)/7)+1)*1E10+W64)</f>
      </c>
      <c r="Y64" s="15">
        <f>IF(B64="","",IF(COUNTIF(B$5:B64,B64)=1,ROW(),""))</f>
      </c>
      <c r="Z64" s="4">
        <f>IF(H64="","",B64&amp;"|"&amp;E64)</f>
      </c>
      <c r="AA64" s="16">
        <f>IF(B64="","",IF(COUNTIF(B64:B$1000,B64)=1,A64,""))</f>
      </c>
    </row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  <row r="301" spans="3:5" x14ac:dyDescent="0.25"/>
    <row r="302" spans="3:5" x14ac:dyDescent="0.25"/>
    <row r="303" spans="3:5" x14ac:dyDescent="0.25"/>
    <row r="304" spans="3:5" x14ac:dyDescent="0.25"/>
    <row r="305" spans="3:5" x14ac:dyDescent="0.25"/>
    <row r="306" spans="3:5" x14ac:dyDescent="0.25"/>
    <row r="307" spans="3:5" x14ac:dyDescent="0.25"/>
    <row r="308" spans="3:5" x14ac:dyDescent="0.25"/>
    <row r="309" spans="3:5" x14ac:dyDescent="0.25"/>
    <row r="310" spans="3:5" x14ac:dyDescent="0.25"/>
    <row r="311" spans="3:5" x14ac:dyDescent="0.25"/>
    <row r="312" spans="3:5" x14ac:dyDescent="0.25"/>
    <row r="313" spans="3:5" x14ac:dyDescent="0.25"/>
    <row r="314" spans="3:5" x14ac:dyDescent="0.25"/>
    <row r="315" spans="3:5" x14ac:dyDescent="0.25"/>
    <row r="316" spans="3:5" x14ac:dyDescent="0.25"/>
    <row r="317" spans="3:5" x14ac:dyDescent="0.25"/>
    <row r="318" spans="3:5" x14ac:dyDescent="0.25"/>
    <row r="319" spans="3:5" x14ac:dyDescent="0.25"/>
    <row r="320" spans="3:5" x14ac:dyDescent="0.25"/>
    <row r="321" spans="3:5" x14ac:dyDescent="0.25"/>
    <row r="322" spans="3:5" x14ac:dyDescent="0.25"/>
    <row r="323" spans="3:5" x14ac:dyDescent="0.25"/>
    <row r="324" spans="3:5" x14ac:dyDescent="0.25"/>
    <row r="325" spans="3:5" x14ac:dyDescent="0.25"/>
    <row r="326" spans="3:5" x14ac:dyDescent="0.25"/>
    <row r="327" spans="3:5" x14ac:dyDescent="0.25"/>
    <row r="328" spans="3:5" x14ac:dyDescent="0.25"/>
    <row r="329" spans="3:5" x14ac:dyDescent="0.25"/>
    <row r="330" spans="3:5" x14ac:dyDescent="0.25"/>
    <row r="331" spans="3:5" x14ac:dyDescent="0.25"/>
    <row r="332" spans="3:5" x14ac:dyDescent="0.25"/>
    <row r="333" spans="3:5" x14ac:dyDescent="0.25"/>
    <row r="334" spans="3:5" x14ac:dyDescent="0.25"/>
    <row r="335" spans="3:5" x14ac:dyDescent="0.25"/>
    <row r="336" spans="3:5" x14ac:dyDescent="0.25"/>
    <row r="337" spans="3:5" x14ac:dyDescent="0.25"/>
    <row r="338" spans="3:5" x14ac:dyDescent="0.25"/>
    <row r="339" spans="3:5" x14ac:dyDescent="0.25"/>
    <row r="340" spans="3:5" x14ac:dyDescent="0.25"/>
    <row r="341" spans="3:5" x14ac:dyDescent="0.25"/>
    <row r="342" spans="3:5" x14ac:dyDescent="0.25"/>
    <row r="343" spans="3:5" x14ac:dyDescent="0.25"/>
    <row r="344" spans="3:5" x14ac:dyDescent="0.25"/>
    <row r="345" spans="3:5" x14ac:dyDescent="0.25"/>
    <row r="346" spans="3:5" x14ac:dyDescent="0.25"/>
    <row r="347" spans="3:5" x14ac:dyDescent="0.25"/>
    <row r="348" spans="3:5" x14ac:dyDescent="0.25"/>
    <row r="349" spans="3:5" x14ac:dyDescent="0.25"/>
    <row r="350" spans="3:5" x14ac:dyDescent="0.25"/>
    <row r="351" spans="3:5" x14ac:dyDescent="0.25"/>
    <row r="352" spans="3:5" x14ac:dyDescent="0.25"/>
    <row r="353" spans="3:5" x14ac:dyDescent="0.25"/>
    <row r="354" spans="3:5" x14ac:dyDescent="0.25"/>
    <row r="355" spans="3:5" x14ac:dyDescent="0.25"/>
    <row r="356" spans="3:5" x14ac:dyDescent="0.25"/>
    <row r="357" spans="3:5" x14ac:dyDescent="0.25"/>
    <row r="358" spans="3:5" x14ac:dyDescent="0.25"/>
    <row r="359" spans="3:5" x14ac:dyDescent="0.25"/>
    <row r="360" spans="3:5" x14ac:dyDescent="0.25"/>
    <row r="361" spans="3:5" x14ac:dyDescent="0.25"/>
    <row r="362" spans="3:5" x14ac:dyDescent="0.25"/>
    <row r="363" spans="3:5" x14ac:dyDescent="0.25"/>
    <row r="364" spans="3:5" x14ac:dyDescent="0.25"/>
    <row r="365" spans="3:5" x14ac:dyDescent="0.25"/>
    <row r="366" spans="3:5" x14ac:dyDescent="0.25"/>
    <row r="367" spans="3:5" x14ac:dyDescent="0.25"/>
    <row r="368" spans="3:5" x14ac:dyDescent="0.25"/>
    <row r="369" spans="3:5" x14ac:dyDescent="0.25"/>
    <row r="370" spans="3:5" x14ac:dyDescent="0.25"/>
    <row r="371" spans="3:5" x14ac:dyDescent="0.25"/>
    <row r="372" spans="3:5" x14ac:dyDescent="0.25"/>
    <row r="373" spans="3:5" x14ac:dyDescent="0.25"/>
    <row r="374" spans="3:5" x14ac:dyDescent="0.25"/>
    <row r="375" spans="3:5" x14ac:dyDescent="0.25"/>
    <row r="376" spans="3:5" x14ac:dyDescent="0.25"/>
    <row r="377" spans="3:5" x14ac:dyDescent="0.25"/>
    <row r="378" spans="3:5" x14ac:dyDescent="0.25"/>
    <row r="379" spans="3:5" x14ac:dyDescent="0.25"/>
    <row r="380" spans="3:5" x14ac:dyDescent="0.25"/>
    <row r="381" spans="3:5" x14ac:dyDescent="0.25"/>
    <row r="382" spans="3:5" x14ac:dyDescent="0.25"/>
    <row r="383" spans="3:5" x14ac:dyDescent="0.25"/>
    <row r="384" spans="3:5" x14ac:dyDescent="0.25"/>
    <row r="385" spans="3:5" x14ac:dyDescent="0.25"/>
    <row r="386" spans="3:5" x14ac:dyDescent="0.25"/>
    <row r="387" spans="3:5" x14ac:dyDescent="0.25"/>
    <row r="388" spans="3:5" x14ac:dyDescent="0.25"/>
    <row r="389" spans="3:5" x14ac:dyDescent="0.25"/>
    <row r="390" spans="3:5" x14ac:dyDescent="0.25"/>
    <row r="391" spans="3:5" x14ac:dyDescent="0.25"/>
    <row r="392" spans="3:5" x14ac:dyDescent="0.25"/>
    <row r="393" spans="3:5" x14ac:dyDescent="0.25"/>
    <row r="394" spans="3:5" x14ac:dyDescent="0.25"/>
    <row r="395" spans="3:5" x14ac:dyDescent="0.25"/>
    <row r="396" spans="3:5" x14ac:dyDescent="0.25"/>
    <row r="397" spans="3:5" x14ac:dyDescent="0.25"/>
    <row r="398" spans="3:5" x14ac:dyDescent="0.25"/>
    <row r="399" spans="3:5" x14ac:dyDescent="0.25"/>
    <row r="400" spans="3:5" x14ac:dyDescent="0.25"/>
    <row r="401" spans="3:5" x14ac:dyDescent="0.25"/>
    <row r="402" spans="3:5" x14ac:dyDescent="0.25"/>
    <row r="403" spans="3:5" x14ac:dyDescent="0.25"/>
    <row r="404" spans="3:5" x14ac:dyDescent="0.25"/>
    <row r="405" spans="3:5" x14ac:dyDescent="0.25"/>
    <row r="406" spans="3:5" x14ac:dyDescent="0.25"/>
    <row r="407" spans="3:5" x14ac:dyDescent="0.25"/>
    <row r="408" spans="3:5" x14ac:dyDescent="0.25"/>
    <row r="409" spans="3:5" x14ac:dyDescent="0.25"/>
    <row r="410" spans="3:5" x14ac:dyDescent="0.25"/>
    <row r="411" spans="3:5" x14ac:dyDescent="0.25"/>
    <row r="412" spans="3:5" x14ac:dyDescent="0.25"/>
    <row r="413" spans="3:5" x14ac:dyDescent="0.25"/>
    <row r="414" spans="3:5" x14ac:dyDescent="0.25"/>
    <row r="415" spans="3:5" x14ac:dyDescent="0.25"/>
    <row r="416" spans="3:5" x14ac:dyDescent="0.25"/>
    <row r="417" spans="3:5" x14ac:dyDescent="0.25"/>
    <row r="418" spans="3:5" x14ac:dyDescent="0.25"/>
    <row r="419" spans="3:5" x14ac:dyDescent="0.25"/>
    <row r="420" spans="3:5" x14ac:dyDescent="0.25"/>
    <row r="421" spans="3:5" x14ac:dyDescent="0.25"/>
    <row r="422" spans="3:5" x14ac:dyDescent="0.25"/>
    <row r="423" spans="3:5" x14ac:dyDescent="0.25"/>
    <row r="424" spans="3:5" x14ac:dyDescent="0.25"/>
    <row r="425" spans="3:5" x14ac:dyDescent="0.25"/>
    <row r="426" spans="3:5" x14ac:dyDescent="0.25"/>
    <row r="427" spans="3:5" x14ac:dyDescent="0.25"/>
    <row r="428" spans="3:5" x14ac:dyDescent="0.25"/>
    <row r="429" spans="3:5" x14ac:dyDescent="0.25"/>
    <row r="430" spans="3:5" x14ac:dyDescent="0.25"/>
    <row r="431" spans="3:5" x14ac:dyDescent="0.25"/>
    <row r="432" spans="3:5" x14ac:dyDescent="0.25"/>
    <row r="433" spans="3:5" x14ac:dyDescent="0.25"/>
    <row r="434" spans="3:5" x14ac:dyDescent="0.25"/>
    <row r="435" spans="3:5" x14ac:dyDescent="0.25"/>
    <row r="436" spans="3:5" x14ac:dyDescent="0.25"/>
    <row r="437" spans="3:5" x14ac:dyDescent="0.25"/>
    <row r="438" spans="3:5" x14ac:dyDescent="0.25"/>
    <row r="439" spans="3:5" x14ac:dyDescent="0.25"/>
    <row r="440" spans="3:5" x14ac:dyDescent="0.25"/>
    <row r="441" spans="3:5" x14ac:dyDescent="0.25"/>
    <row r="442" spans="3:5" x14ac:dyDescent="0.25"/>
    <row r="443" spans="3:5" x14ac:dyDescent="0.25"/>
    <row r="444" spans="3:5" x14ac:dyDescent="0.25"/>
    <row r="445" spans="3:5" x14ac:dyDescent="0.25"/>
    <row r="446" spans="3:5" x14ac:dyDescent="0.25"/>
    <row r="447" spans="3:5" x14ac:dyDescent="0.25"/>
    <row r="448" spans="3:5" x14ac:dyDescent="0.25"/>
    <row r="449" spans="3:5" x14ac:dyDescent="0.25"/>
    <row r="450" spans="3:5" x14ac:dyDescent="0.25"/>
    <row r="451" spans="3:5" x14ac:dyDescent="0.25"/>
    <row r="452" spans="3:5" x14ac:dyDescent="0.25"/>
    <row r="453" spans="3:5" x14ac:dyDescent="0.25"/>
    <row r="454" spans="3:5" x14ac:dyDescent="0.25"/>
    <row r="455" spans="3:5" x14ac:dyDescent="0.25"/>
    <row r="456" spans="3:5" x14ac:dyDescent="0.25"/>
    <row r="457" spans="3:5" x14ac:dyDescent="0.25"/>
    <row r="458" spans="3:5" x14ac:dyDescent="0.25"/>
    <row r="459" spans="3:5" x14ac:dyDescent="0.25"/>
    <row r="460" spans="3:5" x14ac:dyDescent="0.25"/>
    <row r="461" spans="3:5" x14ac:dyDescent="0.25"/>
    <row r="462" spans="3:5" x14ac:dyDescent="0.25"/>
    <row r="463" spans="3:5" x14ac:dyDescent="0.25"/>
    <row r="464" spans="3:5" x14ac:dyDescent="0.25"/>
    <row r="465" spans="3:5" x14ac:dyDescent="0.25"/>
    <row r="466" spans="3:5" x14ac:dyDescent="0.25"/>
    <row r="467" spans="3:5" x14ac:dyDescent="0.25"/>
    <row r="468" spans="3:5" x14ac:dyDescent="0.25"/>
    <row r="469" spans="3:5" x14ac:dyDescent="0.25"/>
    <row r="470" spans="3:5" x14ac:dyDescent="0.25"/>
    <row r="471" spans="3:5" x14ac:dyDescent="0.25"/>
    <row r="472" spans="3:5" x14ac:dyDescent="0.25"/>
    <row r="473" spans="3:5" x14ac:dyDescent="0.25"/>
    <row r="474" spans="3:5" x14ac:dyDescent="0.25"/>
    <row r="475" spans="3:5" x14ac:dyDescent="0.25"/>
    <row r="476" spans="3:5" x14ac:dyDescent="0.25"/>
    <row r="477" spans="3:5" x14ac:dyDescent="0.25"/>
    <row r="478" spans="3:5" x14ac:dyDescent="0.25"/>
    <row r="479" spans="3:5" x14ac:dyDescent="0.25"/>
    <row r="480" spans="3:5" x14ac:dyDescent="0.25"/>
    <row r="481" spans="3:5" x14ac:dyDescent="0.25"/>
    <row r="482" spans="3:5" x14ac:dyDescent="0.25"/>
    <row r="483" spans="3:5" x14ac:dyDescent="0.25"/>
    <row r="484" spans="3:5" x14ac:dyDescent="0.25"/>
    <row r="485" spans="3:5" x14ac:dyDescent="0.25"/>
    <row r="486" spans="3:5" x14ac:dyDescent="0.25"/>
    <row r="487" spans="3:5" x14ac:dyDescent="0.25"/>
    <row r="488" spans="3:5" x14ac:dyDescent="0.25"/>
    <row r="489" spans="3:5" x14ac:dyDescent="0.25"/>
    <row r="490" spans="3:5" x14ac:dyDescent="0.25"/>
    <row r="491" spans="3:5" x14ac:dyDescent="0.25"/>
    <row r="492" spans="3:5" x14ac:dyDescent="0.25"/>
    <row r="493" spans="3:5" x14ac:dyDescent="0.25"/>
    <row r="494" spans="3:5" x14ac:dyDescent="0.25"/>
    <row r="495" spans="3:5" x14ac:dyDescent="0.25"/>
    <row r="496" spans="3:5" x14ac:dyDescent="0.25"/>
    <row r="497" spans="3:5" x14ac:dyDescent="0.25"/>
    <row r="498" spans="3:5" x14ac:dyDescent="0.25"/>
    <row r="499" spans="3:5" x14ac:dyDescent="0.25"/>
    <row r="500" spans="3:5" x14ac:dyDescent="0.25"/>
    <row r="501" spans="3:5" x14ac:dyDescent="0.25"/>
    <row r="502" spans="3:5" x14ac:dyDescent="0.25"/>
    <row r="503" spans="3:5" x14ac:dyDescent="0.25"/>
    <row r="504" spans="3:5" x14ac:dyDescent="0.25"/>
    <row r="505" spans="3:5" x14ac:dyDescent="0.25"/>
    <row r="506" spans="3:5" x14ac:dyDescent="0.25"/>
    <row r="507" spans="3:5" x14ac:dyDescent="0.25"/>
    <row r="508" spans="3:5" x14ac:dyDescent="0.25"/>
    <row r="509" spans="3:5" x14ac:dyDescent="0.25"/>
    <row r="510" spans="3:5" x14ac:dyDescent="0.25"/>
    <row r="511" spans="3:5" x14ac:dyDescent="0.25"/>
    <row r="512" spans="3:5" x14ac:dyDescent="0.25"/>
    <row r="513" spans="3:5" x14ac:dyDescent="0.25"/>
    <row r="514" spans="3:5" x14ac:dyDescent="0.25"/>
    <row r="515" spans="3:5" x14ac:dyDescent="0.25"/>
    <row r="516" spans="3:5" x14ac:dyDescent="0.25"/>
    <row r="517" spans="3:5" x14ac:dyDescent="0.25"/>
    <row r="518" spans="3:5" x14ac:dyDescent="0.25"/>
    <row r="519" spans="3:5" x14ac:dyDescent="0.25"/>
    <row r="520" spans="3:5" x14ac:dyDescent="0.25"/>
    <row r="521" spans="3:5" x14ac:dyDescent="0.25"/>
    <row r="522" spans="3:5" x14ac:dyDescent="0.25"/>
    <row r="523" spans="3:5" x14ac:dyDescent="0.25"/>
    <row r="524" spans="3:5" x14ac:dyDescent="0.25"/>
    <row r="525" spans="3:5" x14ac:dyDescent="0.25"/>
    <row r="526" spans="3:5" x14ac:dyDescent="0.25"/>
    <row r="527" spans="3:5" x14ac:dyDescent="0.25"/>
    <row r="528" spans="3:5" x14ac:dyDescent="0.25"/>
    <row r="529" spans="3:5" x14ac:dyDescent="0.25"/>
    <row r="530" spans="3:5" x14ac:dyDescent="0.25"/>
    <row r="531" spans="3:5" x14ac:dyDescent="0.25"/>
    <row r="532" spans="3:5" x14ac:dyDescent="0.25"/>
    <row r="533" spans="3:5" x14ac:dyDescent="0.25"/>
    <row r="534" spans="3:5" x14ac:dyDescent="0.25"/>
    <row r="535" spans="3:5" x14ac:dyDescent="0.25"/>
    <row r="536" spans="3:5" x14ac:dyDescent="0.25"/>
    <row r="537" spans="3:5" x14ac:dyDescent="0.25"/>
    <row r="538" spans="3:5" x14ac:dyDescent="0.25"/>
    <row r="539" spans="3:5" x14ac:dyDescent="0.25"/>
    <row r="540" spans="3:5" x14ac:dyDescent="0.25"/>
    <row r="541" spans="3:5" x14ac:dyDescent="0.25"/>
    <row r="542" spans="3:5" x14ac:dyDescent="0.25"/>
    <row r="543" spans="3:5" x14ac:dyDescent="0.25"/>
    <row r="544" spans="3:5" x14ac:dyDescent="0.25"/>
    <row r="545" spans="3:5" x14ac:dyDescent="0.25"/>
    <row r="546" spans="3:5" x14ac:dyDescent="0.25"/>
    <row r="547" spans="3:5" x14ac:dyDescent="0.25"/>
    <row r="548" spans="3:5" x14ac:dyDescent="0.25"/>
    <row r="549" spans="3:5" x14ac:dyDescent="0.25"/>
    <row r="550" spans="3:5" x14ac:dyDescent="0.25"/>
    <row r="551" spans="3:5" x14ac:dyDescent="0.25"/>
    <row r="552" spans="3:5" x14ac:dyDescent="0.25"/>
    <row r="553" spans="3:5" x14ac:dyDescent="0.25"/>
    <row r="554" spans="3:5" x14ac:dyDescent="0.25"/>
    <row r="555" spans="3:5" x14ac:dyDescent="0.25"/>
    <row r="556" spans="3:5" x14ac:dyDescent="0.25"/>
    <row r="557" spans="3:5" x14ac:dyDescent="0.25"/>
    <row r="558" spans="3:5" x14ac:dyDescent="0.25"/>
    <row r="559" spans="3:5" x14ac:dyDescent="0.25"/>
    <row r="560" spans="3:5" x14ac:dyDescent="0.25"/>
    <row r="561" spans="3:5" x14ac:dyDescent="0.25"/>
    <row r="562" spans="3:5" x14ac:dyDescent="0.25"/>
    <row r="563" spans="3:5" x14ac:dyDescent="0.25"/>
    <row r="564" spans="3:5" x14ac:dyDescent="0.25"/>
    <row r="565" spans="3:5" x14ac:dyDescent="0.25"/>
    <row r="566" spans="3:5" x14ac:dyDescent="0.25"/>
    <row r="567" spans="3:5" x14ac:dyDescent="0.25"/>
    <row r="568" spans="3:5" x14ac:dyDescent="0.25"/>
    <row r="569" spans="3:5" x14ac:dyDescent="0.25"/>
    <row r="570" spans="3:5" x14ac:dyDescent="0.25"/>
    <row r="571" spans="3:5" x14ac:dyDescent="0.25"/>
    <row r="572" spans="3:5" x14ac:dyDescent="0.25"/>
    <row r="573" spans="3:5" x14ac:dyDescent="0.25"/>
    <row r="574" spans="3:5" x14ac:dyDescent="0.25"/>
    <row r="575" spans="3:5" x14ac:dyDescent="0.25"/>
    <row r="576" spans="3:5" x14ac:dyDescent="0.25"/>
    <row r="577" spans="3:5" x14ac:dyDescent="0.25"/>
    <row r="578" spans="3:5" x14ac:dyDescent="0.25"/>
    <row r="579" spans="3:5" x14ac:dyDescent="0.25"/>
    <row r="580" spans="3:5" x14ac:dyDescent="0.25"/>
    <row r="581" spans="3:5" x14ac:dyDescent="0.25"/>
    <row r="582" spans="3:5" x14ac:dyDescent="0.25"/>
    <row r="583" spans="3:5" x14ac:dyDescent="0.25"/>
    <row r="584" spans="3:5" x14ac:dyDescent="0.25"/>
    <row r="585" spans="3:5" x14ac:dyDescent="0.25"/>
    <row r="586" spans="3:5" x14ac:dyDescent="0.25"/>
    <row r="587" spans="3:5" x14ac:dyDescent="0.25"/>
    <row r="588" spans="3:5" x14ac:dyDescent="0.25"/>
    <row r="589" spans="3:5" x14ac:dyDescent="0.25"/>
    <row r="590" spans="3:5" x14ac:dyDescent="0.25"/>
    <row r="591" spans="3:5" x14ac:dyDescent="0.25"/>
    <row r="592" spans="3:5" x14ac:dyDescent="0.25"/>
    <row r="593" spans="3:5" x14ac:dyDescent="0.25"/>
    <row r="594" spans="3:5" x14ac:dyDescent="0.25"/>
    <row r="595" spans="3:5" x14ac:dyDescent="0.25"/>
    <row r="596" spans="3:5" x14ac:dyDescent="0.25"/>
    <row r="597" spans="3:5" x14ac:dyDescent="0.25"/>
    <row r="598" spans="3:5" x14ac:dyDescent="0.25"/>
    <row r="599" spans="3:5" x14ac:dyDescent="0.25"/>
    <row r="600" spans="3:5" x14ac:dyDescent="0.25"/>
    <row r="601" spans="3:5" x14ac:dyDescent="0.25"/>
    <row r="602" spans="3:5" x14ac:dyDescent="0.25"/>
    <row r="603" spans="3:5" x14ac:dyDescent="0.25"/>
    <row r="604" spans="3:5" x14ac:dyDescent="0.25"/>
    <row r="605" spans="3:5" x14ac:dyDescent="0.25"/>
    <row r="606" spans="3:5" x14ac:dyDescent="0.25"/>
    <row r="607" spans="3:5" x14ac:dyDescent="0.25"/>
    <row r="608" spans="3:5" x14ac:dyDescent="0.25"/>
    <row r="609" spans="3:5" x14ac:dyDescent="0.25"/>
    <row r="610" spans="3:5" x14ac:dyDescent="0.25"/>
    <row r="611" spans="3:5" x14ac:dyDescent="0.25"/>
    <row r="612" spans="3:5" x14ac:dyDescent="0.25"/>
    <row r="613" spans="3:5" x14ac:dyDescent="0.25"/>
    <row r="614" spans="3:5" x14ac:dyDescent="0.25"/>
    <row r="615" spans="3:5" x14ac:dyDescent="0.25"/>
    <row r="616" spans="3:5" x14ac:dyDescent="0.25"/>
    <row r="617" spans="3:5" x14ac:dyDescent="0.25"/>
    <row r="618" spans="3:5" x14ac:dyDescent="0.25"/>
    <row r="619" spans="3:5" x14ac:dyDescent="0.25"/>
    <row r="620" spans="3:5" x14ac:dyDescent="0.25"/>
    <row r="621" spans="3:5" x14ac:dyDescent="0.25"/>
    <row r="622" spans="3:5" x14ac:dyDescent="0.25"/>
    <row r="623" spans="3:5" x14ac:dyDescent="0.25"/>
    <row r="624" spans="3:5" x14ac:dyDescent="0.25"/>
    <row r="625" spans="3:5" x14ac:dyDescent="0.25"/>
    <row r="626" spans="3:5" x14ac:dyDescent="0.25"/>
    <row r="627" spans="3:5" x14ac:dyDescent="0.25"/>
    <row r="628" spans="3:5" x14ac:dyDescent="0.25"/>
    <row r="629" spans="3:5" x14ac:dyDescent="0.25"/>
    <row r="630" spans="3:5" x14ac:dyDescent="0.25"/>
    <row r="631" spans="3:5" x14ac:dyDescent="0.25"/>
    <row r="632" spans="3:5" x14ac:dyDescent="0.25"/>
    <row r="633" spans="3:5" x14ac:dyDescent="0.25"/>
    <row r="634" spans="3:5" x14ac:dyDescent="0.25"/>
    <row r="635" spans="3:5" x14ac:dyDescent="0.25"/>
    <row r="636" spans="3:5" x14ac:dyDescent="0.25"/>
    <row r="637" spans="3:5" x14ac:dyDescent="0.25"/>
    <row r="638" spans="3:5" x14ac:dyDescent="0.25"/>
    <row r="639" spans="3:5" x14ac:dyDescent="0.25"/>
    <row r="640" spans="3:5" x14ac:dyDescent="0.25"/>
    <row r="641" spans="3:5" x14ac:dyDescent="0.25"/>
    <row r="642" spans="3:5" x14ac:dyDescent="0.25"/>
    <row r="643" spans="3:5" x14ac:dyDescent="0.25"/>
    <row r="644" spans="3:5" x14ac:dyDescent="0.25"/>
    <row r="645" spans="3:5" x14ac:dyDescent="0.25"/>
    <row r="646" spans="3:5" x14ac:dyDescent="0.25"/>
    <row r="647" spans="3:5" x14ac:dyDescent="0.25"/>
    <row r="648" spans="3:5" x14ac:dyDescent="0.25"/>
    <row r="649" spans="3:5" x14ac:dyDescent="0.25"/>
    <row r="650" spans="3:5" x14ac:dyDescent="0.25"/>
    <row r="651" spans="3:5" x14ac:dyDescent="0.25"/>
    <row r="652" spans="3:5" x14ac:dyDescent="0.25"/>
    <row r="653" spans="3:5" x14ac:dyDescent="0.25"/>
    <row r="654" spans="3:5" x14ac:dyDescent="0.25"/>
    <row r="655" spans="3:5" x14ac:dyDescent="0.25"/>
    <row r="656" spans="3:5" x14ac:dyDescent="0.25"/>
    <row r="657" spans="3:5" x14ac:dyDescent="0.25"/>
    <row r="658" spans="3:5" x14ac:dyDescent="0.25"/>
    <row r="659" spans="3:5" x14ac:dyDescent="0.25"/>
    <row r="660" spans="3:5" x14ac:dyDescent="0.25"/>
    <row r="661" spans="3:5" x14ac:dyDescent="0.25"/>
    <row r="662" spans="3:5" x14ac:dyDescent="0.25"/>
    <row r="663" spans="3:5" x14ac:dyDescent="0.25"/>
    <row r="664" spans="3:5" x14ac:dyDescent="0.25"/>
    <row r="665" spans="3:5" x14ac:dyDescent="0.25"/>
    <row r="666" spans="3:5" x14ac:dyDescent="0.25"/>
    <row r="667" spans="3:5" x14ac:dyDescent="0.25"/>
    <row r="668" spans="3:5" x14ac:dyDescent="0.25"/>
    <row r="669" spans="3:5" x14ac:dyDescent="0.25"/>
    <row r="670" spans="3:5" x14ac:dyDescent="0.25"/>
    <row r="671" spans="3:5" x14ac:dyDescent="0.25"/>
    <row r="672" spans="3:5" x14ac:dyDescent="0.25"/>
    <row r="673" spans="3:5" x14ac:dyDescent="0.25"/>
    <row r="674" spans="3:5" x14ac:dyDescent="0.25"/>
    <row r="675" spans="3:5" x14ac:dyDescent="0.25"/>
    <row r="676" spans="3:5" x14ac:dyDescent="0.25"/>
    <row r="677" spans="3:5" x14ac:dyDescent="0.25"/>
    <row r="678" spans="3:5" x14ac:dyDescent="0.25"/>
    <row r="679" spans="3:5" x14ac:dyDescent="0.25"/>
    <row r="680" spans="3:5" x14ac:dyDescent="0.25"/>
    <row r="681" spans="3:5" x14ac:dyDescent="0.25"/>
    <row r="682" spans="3:5" x14ac:dyDescent="0.25"/>
    <row r="683" spans="3:5" x14ac:dyDescent="0.25"/>
    <row r="684" spans="3:5" x14ac:dyDescent="0.25"/>
    <row r="685" spans="3:5" x14ac:dyDescent="0.25"/>
    <row r="686" spans="3:5" x14ac:dyDescent="0.25"/>
    <row r="687" spans="3:5" x14ac:dyDescent="0.25"/>
    <row r="688" spans="3:5" x14ac:dyDescent="0.25"/>
    <row r="689" spans="3:5" x14ac:dyDescent="0.25"/>
    <row r="690" spans="3:5" x14ac:dyDescent="0.25"/>
    <row r="691" spans="3:5" x14ac:dyDescent="0.25"/>
    <row r="692" spans="3:5" x14ac:dyDescent="0.25"/>
    <row r="693" spans="3:5" x14ac:dyDescent="0.25"/>
    <row r="694" spans="3:5" x14ac:dyDescent="0.25"/>
    <row r="695" spans="3:5" x14ac:dyDescent="0.25"/>
    <row r="696" spans="3:5" x14ac:dyDescent="0.25"/>
    <row r="697" spans="3:5" x14ac:dyDescent="0.25"/>
    <row r="698" spans="3:5" x14ac:dyDescent="0.25"/>
    <row r="699" spans="3:5" x14ac:dyDescent="0.25"/>
    <row r="700" spans="3:5" x14ac:dyDescent="0.25"/>
    <row r="701" spans="3:5" x14ac:dyDescent="0.25"/>
    <row r="702" spans="3:5" x14ac:dyDescent="0.25"/>
    <row r="703" spans="3:5" x14ac:dyDescent="0.25"/>
    <row r="704" spans="3:5" x14ac:dyDescent="0.25"/>
    <row r="705" spans="3:5" x14ac:dyDescent="0.25"/>
    <row r="706" spans="3:5" x14ac:dyDescent="0.25"/>
    <row r="707" spans="3:5" x14ac:dyDescent="0.25"/>
    <row r="708" spans="3:5" x14ac:dyDescent="0.25"/>
    <row r="709" spans="3:5" x14ac:dyDescent="0.25"/>
    <row r="710" spans="3:5" x14ac:dyDescent="0.25"/>
    <row r="711" spans="3:5" x14ac:dyDescent="0.25"/>
    <row r="712" spans="3:5" x14ac:dyDescent="0.25"/>
    <row r="713" spans="3:5" x14ac:dyDescent="0.25"/>
    <row r="714" spans="3:5" x14ac:dyDescent="0.25"/>
    <row r="715" spans="3:5" x14ac:dyDescent="0.25"/>
    <row r="716" spans="3:5" x14ac:dyDescent="0.25"/>
    <row r="717" spans="3:5" x14ac:dyDescent="0.25"/>
    <row r="718" spans="3:5" x14ac:dyDescent="0.25"/>
    <row r="719" spans="3:5" x14ac:dyDescent="0.25"/>
    <row r="720" spans="3:5" x14ac:dyDescent="0.25"/>
    <row r="721" spans="3:5" x14ac:dyDescent="0.25"/>
    <row r="722" spans="3:5" x14ac:dyDescent="0.25"/>
    <row r="723" spans="3:5" x14ac:dyDescent="0.25"/>
    <row r="724" spans="3:5" x14ac:dyDescent="0.25"/>
    <row r="725" spans="3:5" x14ac:dyDescent="0.25"/>
    <row r="726" spans="3:5" x14ac:dyDescent="0.25"/>
    <row r="727" spans="3:5" x14ac:dyDescent="0.25"/>
    <row r="728" spans="3:5" x14ac:dyDescent="0.25"/>
    <row r="729" spans="3:5" x14ac:dyDescent="0.25"/>
    <row r="730" spans="3:5" x14ac:dyDescent="0.25"/>
    <row r="731" spans="3:5" x14ac:dyDescent="0.25"/>
    <row r="732" spans="3:5" x14ac:dyDescent="0.25"/>
    <row r="733" spans="3:5" x14ac:dyDescent="0.25"/>
    <row r="734" spans="3:5" x14ac:dyDescent="0.25"/>
    <row r="735" spans="3:5" x14ac:dyDescent="0.25"/>
    <row r="736" spans="3:5" x14ac:dyDescent="0.25"/>
    <row r="737" spans="3:5" x14ac:dyDescent="0.25"/>
    <row r="738" spans="3:5" x14ac:dyDescent="0.25"/>
    <row r="739" spans="3:5" x14ac:dyDescent="0.25"/>
    <row r="740" spans="3:5" x14ac:dyDescent="0.25"/>
    <row r="741" spans="3:5" x14ac:dyDescent="0.25"/>
    <row r="742" spans="3:5" x14ac:dyDescent="0.25"/>
    <row r="743" spans="3:5" x14ac:dyDescent="0.25"/>
    <row r="744" spans="3:5" x14ac:dyDescent="0.25"/>
    <row r="745" spans="3:5" x14ac:dyDescent="0.25"/>
    <row r="746" spans="3:5" x14ac:dyDescent="0.25"/>
    <row r="747" spans="3:5" x14ac:dyDescent="0.25"/>
    <row r="748" spans="3:5" x14ac:dyDescent="0.25"/>
    <row r="749" spans="3:5" x14ac:dyDescent="0.25"/>
    <row r="750" spans="3:5" x14ac:dyDescent="0.25"/>
    <row r="751" spans="3:5" x14ac:dyDescent="0.25"/>
    <row r="752" spans="3:5" x14ac:dyDescent="0.25"/>
    <row r="753" spans="3:5" x14ac:dyDescent="0.25"/>
    <row r="754" spans="3:5" x14ac:dyDescent="0.25"/>
    <row r="755" spans="3:5" x14ac:dyDescent="0.25"/>
    <row r="756" spans="3:5" x14ac:dyDescent="0.25"/>
    <row r="757" spans="3:5" x14ac:dyDescent="0.25"/>
    <row r="758" spans="3:5" x14ac:dyDescent="0.25"/>
    <row r="759" spans="3:5" x14ac:dyDescent="0.25"/>
    <row r="760" spans="3:5" x14ac:dyDescent="0.25"/>
    <row r="761" spans="3:5" x14ac:dyDescent="0.25"/>
    <row r="762" spans="3:5" x14ac:dyDescent="0.25"/>
    <row r="763" spans="3:5" x14ac:dyDescent="0.25"/>
    <row r="764" spans="3:5" x14ac:dyDescent="0.25"/>
    <row r="765" spans="3:5" x14ac:dyDescent="0.25"/>
    <row r="766" spans="3:5" x14ac:dyDescent="0.25"/>
    <row r="767" spans="3:5" x14ac:dyDescent="0.25"/>
    <row r="768" spans="3:5" x14ac:dyDescent="0.25"/>
    <row r="769" spans="3:5" x14ac:dyDescent="0.25"/>
    <row r="770" spans="3:5" x14ac:dyDescent="0.25"/>
    <row r="771" spans="3:5" x14ac:dyDescent="0.25"/>
    <row r="772" spans="3:5" x14ac:dyDescent="0.25"/>
    <row r="773" spans="3:5" x14ac:dyDescent="0.25"/>
    <row r="774" spans="3:5" x14ac:dyDescent="0.25"/>
    <row r="775" spans="3:5" x14ac:dyDescent="0.25"/>
    <row r="776" spans="3:5" x14ac:dyDescent="0.25"/>
    <row r="777" spans="3:5" x14ac:dyDescent="0.25"/>
    <row r="778" spans="3:5" x14ac:dyDescent="0.25"/>
    <row r="779" spans="3:5" x14ac:dyDescent="0.25"/>
    <row r="780" spans="3:5" x14ac:dyDescent="0.25"/>
    <row r="781" spans="3:5" x14ac:dyDescent="0.25"/>
    <row r="782" spans="3:5" x14ac:dyDescent="0.25"/>
    <row r="783" spans="3:5" x14ac:dyDescent="0.25"/>
    <row r="784" spans="3:5" x14ac:dyDescent="0.25"/>
    <row r="785" spans="3:5" x14ac:dyDescent="0.25"/>
    <row r="786" spans="3:5" x14ac:dyDescent="0.25"/>
    <row r="787" spans="3:5" x14ac:dyDescent="0.25"/>
    <row r="788" spans="3:5" x14ac:dyDescent="0.25"/>
    <row r="789" spans="3:5" x14ac:dyDescent="0.25"/>
    <row r="790" spans="3:5" x14ac:dyDescent="0.25"/>
    <row r="791" spans="3:5" x14ac:dyDescent="0.25"/>
    <row r="792" spans="3:5" x14ac:dyDescent="0.25"/>
    <row r="793" spans="3:5" x14ac:dyDescent="0.25"/>
    <row r="794" spans="3:5" x14ac:dyDescent="0.25"/>
    <row r="795" spans="3:5" x14ac:dyDescent="0.25"/>
    <row r="796" spans="3:5" x14ac:dyDescent="0.25"/>
    <row r="797" spans="3:5" x14ac:dyDescent="0.25"/>
    <row r="798" spans="3:5" x14ac:dyDescent="0.25"/>
    <row r="799" spans="3:5" x14ac:dyDescent="0.25"/>
    <row r="800" spans="3:5" x14ac:dyDescent="0.25"/>
    <row r="801" spans="3:5" x14ac:dyDescent="0.25"/>
    <row r="802" spans="3:5" x14ac:dyDescent="0.25"/>
    <row r="803" spans="3:5" x14ac:dyDescent="0.25"/>
    <row r="804" spans="3:5" x14ac:dyDescent="0.25"/>
    <row r="805" spans="3:5" x14ac:dyDescent="0.25"/>
    <row r="806" spans="3:5" x14ac:dyDescent="0.25"/>
    <row r="807" spans="3:5" x14ac:dyDescent="0.25"/>
    <row r="808" spans="3:5" x14ac:dyDescent="0.25"/>
    <row r="809" spans="3:5" x14ac:dyDescent="0.25"/>
    <row r="810" spans="3:5" x14ac:dyDescent="0.25"/>
    <row r="811" spans="3:5" x14ac:dyDescent="0.25"/>
    <row r="812" spans="3:5" x14ac:dyDescent="0.25"/>
    <row r="813" spans="3:5" x14ac:dyDescent="0.25"/>
    <row r="814" spans="3:5" x14ac:dyDescent="0.25"/>
    <row r="815" spans="3:5" x14ac:dyDescent="0.25"/>
    <row r="816" spans="3:5" x14ac:dyDescent="0.25"/>
    <row r="817" spans="3:5" x14ac:dyDescent="0.25"/>
    <row r="818" spans="3:5" x14ac:dyDescent="0.25"/>
    <row r="819" spans="3:5" x14ac:dyDescent="0.25"/>
    <row r="820" spans="3:5" x14ac:dyDescent="0.25"/>
    <row r="821" spans="3:5" x14ac:dyDescent="0.25"/>
    <row r="822" spans="3:5" x14ac:dyDescent="0.25"/>
    <row r="823" spans="3:5" x14ac:dyDescent="0.25"/>
    <row r="824" spans="3:5" x14ac:dyDescent="0.25"/>
    <row r="825" spans="3:5" x14ac:dyDescent="0.25"/>
    <row r="826" spans="3:5" x14ac:dyDescent="0.25"/>
    <row r="827" spans="3:5" x14ac:dyDescent="0.25"/>
    <row r="828" spans="3:5" x14ac:dyDescent="0.25"/>
    <row r="829" spans="3:5" x14ac:dyDescent="0.25"/>
    <row r="830" spans="3:5" x14ac:dyDescent="0.25"/>
    <row r="831" spans="3:5" x14ac:dyDescent="0.25"/>
    <row r="832" spans="3:5" x14ac:dyDescent="0.25"/>
    <row r="833" spans="3:5" x14ac:dyDescent="0.25"/>
    <row r="834" spans="3:5" x14ac:dyDescent="0.25"/>
    <row r="835" spans="3:5" x14ac:dyDescent="0.25"/>
    <row r="836" spans="3:5" x14ac:dyDescent="0.25"/>
    <row r="837" spans="3:5" x14ac:dyDescent="0.25"/>
    <row r="838" spans="3:5" x14ac:dyDescent="0.25"/>
    <row r="839" spans="3:5" x14ac:dyDescent="0.25"/>
    <row r="840" spans="3:5" x14ac:dyDescent="0.25"/>
    <row r="841" spans="3:5" x14ac:dyDescent="0.25"/>
    <row r="842" spans="3:5" x14ac:dyDescent="0.25"/>
    <row r="843" spans="3:5" x14ac:dyDescent="0.25"/>
    <row r="844" spans="3:5" x14ac:dyDescent="0.25"/>
    <row r="845" spans="3:5" x14ac:dyDescent="0.25"/>
    <row r="846" spans="3:5" x14ac:dyDescent="0.25"/>
    <row r="847" spans="3:5" x14ac:dyDescent="0.25"/>
    <row r="848" spans="3:5" x14ac:dyDescent="0.25"/>
    <row r="849" spans="3:5" x14ac:dyDescent="0.25"/>
    <row r="850" spans="3:5" x14ac:dyDescent="0.25"/>
    <row r="851" spans="3:5" x14ac:dyDescent="0.25"/>
    <row r="852" spans="3:5" x14ac:dyDescent="0.25"/>
    <row r="853" spans="3:5" x14ac:dyDescent="0.25"/>
    <row r="854" spans="3:5" x14ac:dyDescent="0.25"/>
    <row r="855" spans="3:5" x14ac:dyDescent="0.25"/>
    <row r="856" spans="3:5" x14ac:dyDescent="0.25"/>
    <row r="857" spans="3:5" x14ac:dyDescent="0.25"/>
    <row r="858" spans="3:5" x14ac:dyDescent="0.25"/>
    <row r="859" spans="3:5" x14ac:dyDescent="0.25"/>
    <row r="860" spans="3:5" x14ac:dyDescent="0.25"/>
    <row r="861" spans="3:5" x14ac:dyDescent="0.25"/>
    <row r="862" spans="3:5" x14ac:dyDescent="0.25"/>
    <row r="863" spans="3:5" x14ac:dyDescent="0.25"/>
    <row r="864" spans="3:5" x14ac:dyDescent="0.25"/>
    <row r="865" spans="3:5" x14ac:dyDescent="0.25"/>
    <row r="866" spans="3:5" x14ac:dyDescent="0.25"/>
    <row r="867" spans="3:5" x14ac:dyDescent="0.25"/>
    <row r="868" spans="3:5" x14ac:dyDescent="0.25"/>
    <row r="869" spans="3:5" x14ac:dyDescent="0.25"/>
    <row r="870" spans="3:5" x14ac:dyDescent="0.25"/>
    <row r="871" spans="3:5" x14ac:dyDescent="0.25"/>
    <row r="872" spans="3:5" x14ac:dyDescent="0.25"/>
    <row r="873" spans="3:5" x14ac:dyDescent="0.25"/>
    <row r="874" spans="3:5" x14ac:dyDescent="0.25"/>
    <row r="875" spans="3:5" x14ac:dyDescent="0.25"/>
    <row r="876" spans="3:5" x14ac:dyDescent="0.25"/>
    <row r="877" spans="3:5" x14ac:dyDescent="0.25"/>
    <row r="878" spans="3:5" x14ac:dyDescent="0.25"/>
    <row r="879" spans="3:5" x14ac:dyDescent="0.25"/>
    <row r="880" spans="3:5" x14ac:dyDescent="0.25"/>
    <row r="881" spans="3:5" x14ac:dyDescent="0.25"/>
    <row r="882" spans="3:5" x14ac:dyDescent="0.25"/>
    <row r="883" spans="3:5" x14ac:dyDescent="0.25"/>
    <row r="884" spans="3:5" x14ac:dyDescent="0.25"/>
    <row r="885" spans="3:5" x14ac:dyDescent="0.25"/>
    <row r="886" spans="3:5" x14ac:dyDescent="0.25"/>
    <row r="887" spans="3:5" x14ac:dyDescent="0.25"/>
    <row r="888" spans="3:5" x14ac:dyDescent="0.25"/>
    <row r="889" spans="3:5" x14ac:dyDescent="0.25"/>
    <row r="890" spans="3:5" x14ac:dyDescent="0.25"/>
    <row r="891" spans="3:5" x14ac:dyDescent="0.25"/>
    <row r="892" spans="3:5" x14ac:dyDescent="0.25"/>
    <row r="893" spans="3:5" x14ac:dyDescent="0.25"/>
    <row r="894" spans="3:5" x14ac:dyDescent="0.25"/>
    <row r="895" spans="3:5" x14ac:dyDescent="0.25"/>
    <row r="896" spans="3:5" x14ac:dyDescent="0.25"/>
    <row r="897" spans="3:5" x14ac:dyDescent="0.25"/>
    <row r="898" spans="3:5" x14ac:dyDescent="0.25"/>
    <row r="899" spans="3:5" x14ac:dyDescent="0.25"/>
    <row r="900" spans="3:5" x14ac:dyDescent="0.25"/>
    <row r="901" spans="3:5" x14ac:dyDescent="0.25"/>
    <row r="902" spans="3:5" x14ac:dyDescent="0.25"/>
    <row r="903" spans="3:5" x14ac:dyDescent="0.25"/>
    <row r="904" spans="3:5" x14ac:dyDescent="0.25"/>
    <row r="905" spans="3:5" x14ac:dyDescent="0.25"/>
    <row r="906" spans="3:5" x14ac:dyDescent="0.25"/>
    <row r="907" spans="3:5" x14ac:dyDescent="0.25"/>
    <row r="908" spans="3:5" x14ac:dyDescent="0.25"/>
    <row r="909" spans="3:5" x14ac:dyDescent="0.25"/>
    <row r="910" spans="3:5" x14ac:dyDescent="0.25"/>
    <row r="911" spans="3:5" x14ac:dyDescent="0.25"/>
    <row r="912" spans="3:5" x14ac:dyDescent="0.25"/>
    <row r="913" spans="3:5" x14ac:dyDescent="0.25"/>
    <row r="914" spans="3:5" x14ac:dyDescent="0.25"/>
    <row r="915" spans="3:5" x14ac:dyDescent="0.25"/>
    <row r="916" spans="3:5" x14ac:dyDescent="0.25"/>
    <row r="917" spans="3:5" x14ac:dyDescent="0.25"/>
    <row r="918" spans="3:5" x14ac:dyDescent="0.25"/>
    <row r="919" spans="3:5" x14ac:dyDescent="0.25"/>
    <row r="920" spans="3:5" x14ac:dyDescent="0.25"/>
    <row r="921" spans="3:5" x14ac:dyDescent="0.25"/>
    <row r="922" spans="3:5" x14ac:dyDescent="0.25"/>
    <row r="923" spans="3:5" x14ac:dyDescent="0.25"/>
    <row r="924" spans="3:5" x14ac:dyDescent="0.25"/>
    <row r="925" spans="3:5" x14ac:dyDescent="0.25"/>
    <row r="926" spans="3:5" x14ac:dyDescent="0.25"/>
    <row r="927" spans="3:5" x14ac:dyDescent="0.25"/>
    <row r="928" spans="3:5" x14ac:dyDescent="0.25"/>
    <row r="929" spans="3:5" x14ac:dyDescent="0.25"/>
    <row r="930" spans="3:5" x14ac:dyDescent="0.25"/>
    <row r="931" spans="3:5" x14ac:dyDescent="0.25"/>
    <row r="932" spans="3:5" x14ac:dyDescent="0.25"/>
    <row r="933" spans="3:5" x14ac:dyDescent="0.25"/>
    <row r="934" spans="3:5" x14ac:dyDescent="0.25"/>
    <row r="935" spans="3:5" x14ac:dyDescent="0.25"/>
    <row r="936" spans="3:5" x14ac:dyDescent="0.25"/>
    <row r="937" spans="3:5" x14ac:dyDescent="0.25"/>
    <row r="938" spans="3:5" x14ac:dyDescent="0.25"/>
    <row r="939" spans="3:5" x14ac:dyDescent="0.25"/>
    <row r="940" spans="3:5" x14ac:dyDescent="0.25"/>
    <row r="941" spans="3:5" x14ac:dyDescent="0.25"/>
    <row r="942" spans="3:5" x14ac:dyDescent="0.25"/>
    <row r="943" spans="3:5" x14ac:dyDescent="0.25"/>
    <row r="944" spans="3:5" x14ac:dyDescent="0.25"/>
    <row r="945" spans="3:5" x14ac:dyDescent="0.25"/>
    <row r="946" spans="3:5" x14ac:dyDescent="0.25"/>
    <row r="947" spans="3:5" x14ac:dyDescent="0.25"/>
    <row r="948" spans="3:5" x14ac:dyDescent="0.25"/>
    <row r="949" spans="3:5" x14ac:dyDescent="0.25"/>
    <row r="950" spans="3:5" x14ac:dyDescent="0.25"/>
    <row r="951" spans="3:5" x14ac:dyDescent="0.25"/>
    <row r="952" spans="3:5" x14ac:dyDescent="0.25"/>
    <row r="953" spans="3:5" x14ac:dyDescent="0.25"/>
    <row r="954" spans="3:5" x14ac:dyDescent="0.25"/>
    <row r="955" spans="3:5" x14ac:dyDescent="0.25"/>
    <row r="956" spans="3:5" x14ac:dyDescent="0.25"/>
    <row r="957" spans="3:5" x14ac:dyDescent="0.25"/>
    <row r="958" spans="3:5" x14ac:dyDescent="0.25"/>
    <row r="959" spans="3:5" x14ac:dyDescent="0.25"/>
    <row r="960" spans="3:5" x14ac:dyDescent="0.25"/>
    <row r="961" spans="3:5" x14ac:dyDescent="0.25"/>
    <row r="962" spans="3:5" x14ac:dyDescent="0.25"/>
    <row r="963" spans="3:5" x14ac:dyDescent="0.25"/>
    <row r="964" spans="3:5" x14ac:dyDescent="0.25"/>
    <row r="965" spans="3:5" x14ac:dyDescent="0.25"/>
    <row r="966" spans="3:5" x14ac:dyDescent="0.25"/>
    <row r="967" spans="3:5" x14ac:dyDescent="0.25"/>
    <row r="968" spans="3:5" x14ac:dyDescent="0.25"/>
    <row r="969" spans="3:5" x14ac:dyDescent="0.25"/>
    <row r="970" spans="3:5" x14ac:dyDescent="0.25"/>
    <row r="971" spans="3:5" x14ac:dyDescent="0.25"/>
    <row r="972" spans="3:5" x14ac:dyDescent="0.25"/>
    <row r="973" spans="3:5" x14ac:dyDescent="0.25"/>
    <row r="974" spans="3:5" x14ac:dyDescent="0.25"/>
    <row r="975" spans="3:5" x14ac:dyDescent="0.25"/>
    <row r="976" spans="3:5" x14ac:dyDescent="0.25"/>
    <row r="977" spans="3:5" x14ac:dyDescent="0.25"/>
    <row r="978" spans="3:5" x14ac:dyDescent="0.25"/>
    <row r="979" spans="3:5" x14ac:dyDescent="0.25"/>
    <row r="980" spans="3:5" x14ac:dyDescent="0.25"/>
    <row r="981" spans="3:5" x14ac:dyDescent="0.25"/>
    <row r="982" spans="3:5" x14ac:dyDescent="0.25"/>
    <row r="983" spans="3:5" x14ac:dyDescent="0.25"/>
    <row r="984" spans="3:5" x14ac:dyDescent="0.25"/>
    <row r="985" spans="3:5" x14ac:dyDescent="0.25"/>
    <row r="986" spans="3:5" x14ac:dyDescent="0.25"/>
    <row r="987" spans="3:5" x14ac:dyDescent="0.25"/>
    <row r="988" spans="3:5" x14ac:dyDescent="0.25"/>
    <row r="989" spans="3:5" x14ac:dyDescent="0.25"/>
    <row r="990" spans="3:5" x14ac:dyDescent="0.25"/>
    <row r="991" spans="3:5" x14ac:dyDescent="0.25"/>
    <row r="992" spans="3:5" x14ac:dyDescent="0.25"/>
    <row r="993" spans="3:5" x14ac:dyDescent="0.25"/>
    <row r="994" spans="3:5" x14ac:dyDescent="0.25"/>
    <row r="995" spans="3:5" x14ac:dyDescent="0.25"/>
    <row r="996" spans="3:5" x14ac:dyDescent="0.25"/>
    <row r="997" spans="3:5" x14ac:dyDescent="0.25"/>
    <row r="998" spans="3:5" x14ac:dyDescent="0.25"/>
    <row r="999" spans="3:5" x14ac:dyDescent="0.25"/>
    <row r="1000" spans="3:5" x14ac:dyDescent="0.25"/>
  </sheetData>
  <conditionalFormatting sqref="S5:S1000">
    <cfRule type="cellIs" dxfId="2" priority="1" operator="between">
      <formula>1.5</formula>
      <formula>1000000</formula>
    </cfRule>
  </conditionalFormatting>
  <conditionalFormatting sqref="S5:S1000">
    <cfRule type="cellIs" dxfId="3" priority="1" operator="between">
      <formula>0.000001</formula>
      <formula>0.5</formula>
    </cfRule>
  </conditionalFormatting>
  <conditionalFormatting sqref="T5:T1000">
    <cfRule type="containsText" dxfId="4" priority="1">
      <formula>NOT(ISERROR(SEARCH("Winner",T5)))</formula>
    </cfRule>
  </conditionalFormatting>
  <conditionalFormatting sqref="T5:T1000">
    <cfRule type="containsText" dxfId="5" priority="1">
      <formula>NOT(ISERROR(SEARCH("Flop",T5)))</formula>
    </cfRule>
  </conditionalFormatting>
  <conditionalFormatting sqref="V5:V1000">
    <cfRule type="containsText" dxfId="6" priority="1">
      <formula>NOT(ISERROR(SEARCH("Not in",V5)))</formula>
    </cfRule>
  </conditionalFormatting>
  <dataValidations count="6">
    <dataValidation type="list" allowBlank="1" showErrorMessage="1" sqref="C10:C1000">
      <formula1>"Reddit Stories,History Facts,Motivation,AI Tools,True Crime,Finance Facts,Science Facts,Beauty &amp; Skincare,Fitness &amp; Health,Other"</formula1>
    </dataValidation>
    <dataValidation type="list" allowBlank="1" showErrorMessage="1" sqref="C5:C1000">
      <formula1>"Reddit Stories,History Facts,Motivation,AI Tools,True Crime,Finance Facts,Science Facts,Beauty &amp; Skincare,Fitness &amp; Health,Other"</formula1>
    </dataValidation>
    <dataValidation type="list" allowBlank="1" showErrorMessage="1" sqref="D10:D1000">
      <formula1>"Question,Shocking Fact,Story Cold Open,You won't believe,List / Countdown,Myth vs Truth,POV,Challenge,Before/After,Direct Promise"</formula1>
    </dataValidation>
    <dataValidation type="list" allowBlank="1" showErrorMessage="1" sqref="D5:D1000">
      <formula1>"Question,Shocking Fact,Story Cold Open,You won't believe,List / Countdown,Myth vs Truth,POV,Challenge,Before/After,Direct Promise"</formula1>
    </dataValidation>
    <dataValidation type="list" allowBlank="1" showErrorMessage="1" sqref="E10:E1000">
      <formula1>"YouTube Shorts,TikTok,Instagram Reels,Facebook Reels"</formula1>
    </dataValidation>
    <dataValidation type="list" allowBlank="1" showErrorMessage="1" sqref="E5:E1000">
      <formula1>"YouTube Shorts,TikTok,Instagram Reels,Facebook Reels"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4" max="4" width="10" customWidth="1"/>
    <col min="5" max="5" width="11" customWidth="1"/>
    <col min="7" max="7" width="10" customWidth="1"/>
    <col min="8" max="8" width="11" customWidth="1"/>
    <col min="10" max="10" width="10" customWidth="1"/>
    <col min="11" max="11" width="11" customWidth="1"/>
    <col min="13" max="13" width="10" customWidth="1"/>
    <col min="14" max="14" width="13" customWidth="1"/>
    <col min="15" max="15" width="12" customWidth="1"/>
    <col min="16" max="16" width="13" customWidth="1"/>
  </cols>
  <sheetData>
    <row r="1" spans="1:1" x14ac:dyDescent="0.25">
      <c r="A1" s="1" t="s">
        <v>38</v>
      </c>
    </row>
    <row r="2" spans="1:1" x14ac:dyDescent="0.25">
      <c r="A2" s="2" t="s">
        <v>242</v>
      </c>
    </row>
    <row r="4" spans="1:16" x14ac:dyDescent="0.25">
      <c r="A4" s="3" t="s">
        <v>243</v>
      </c>
      <c r="B4" s="3" t="s">
        <v>244</v>
      </c>
      <c r="C4" s="3" t="s">
        <v>245</v>
      </c>
      <c r="D4" s="3" t="s">
        <v>246</v>
      </c>
      <c r="E4" s="3" t="s">
        <v>247</v>
      </c>
      <c r="F4" s="3" t="s">
        <v>248</v>
      </c>
      <c r="G4" s="3" t="s">
        <v>249</v>
      </c>
      <c r="H4" s="3" t="s">
        <v>250</v>
      </c>
      <c r="I4" s="3" t="s">
        <v>251</v>
      </c>
      <c r="J4" s="3" t="s">
        <v>252</v>
      </c>
      <c r="K4" s="3" t="s">
        <v>253</v>
      </c>
      <c r="L4" s="3" t="s">
        <v>254</v>
      </c>
      <c r="M4" s="3" t="s">
        <v>255</v>
      </c>
      <c r="N4" s="3" t="s">
        <v>256</v>
      </c>
      <c r="O4" s="3" t="s">
        <v>257</v>
      </c>
      <c r="P4" s="3" t="s">
        <v>258</v>
      </c>
    </row>
    <row r="5" spans="1:16" x14ac:dyDescent="0.25">
      <c r="A5" s="17">
        <f>EOMONTH(Settings!$B$6,-1)+1</f>
      </c>
      <c r="B5" s="7">
        <v>25000</v>
      </c>
      <c r="C5" s="18">
        <v>1</v>
      </c>
      <c r="D5" s="19">
        <f>B5*C5/1000</f>
      </c>
      <c r="E5" s="7">
        <v>40000</v>
      </c>
      <c r="F5" s="18">
        <v>1</v>
      </c>
      <c r="G5" s="19">
        <f>E5*F5/1000</f>
      </c>
      <c r="H5" s="7">
        <v>12000</v>
      </c>
      <c r="I5" s="18">
        <v>1</v>
      </c>
      <c r="J5" s="19">
        <f>H5*I5/1000</f>
      </c>
      <c r="K5" s="7"/>
      <c r="L5" s="18"/>
      <c r="M5" s="19">
        <f>K5*L5/1000</f>
      </c>
      <c r="N5" s="19">
        <f>SUMIFS('Video Log'!O:O,'Video Log'!A:A,"&gt;="&amp;A5,'Video Log'!A:A,"&lt;"&amp;EDATE(A5,1))</f>
      </c>
      <c r="O5" s="10"/>
      <c r="P5" s="19">
        <f>SUM(D5,G5,J5,M5,N5,O5)</f>
      </c>
    </row>
    <row r="6" spans="1:16" x14ac:dyDescent="0.25">
      <c r="A6" s="17">
        <f>EDATE(A5,1)</f>
      </c>
      <c r="B6" s="7">
        <v>30000</v>
      </c>
      <c r="C6" s="18">
        <v>1</v>
      </c>
      <c r="D6" s="19">
        <f>B6*C6/1000</f>
      </c>
      <c r="E6" s="7">
        <v>50000</v>
      </c>
      <c r="F6" s="18">
        <v>1</v>
      </c>
      <c r="G6" s="19">
        <f>E6*F6/1000</f>
      </c>
      <c r="H6" s="7">
        <v>15000</v>
      </c>
      <c r="I6" s="18">
        <v>1</v>
      </c>
      <c r="J6" s="19">
        <f>H6*I6/1000</f>
      </c>
      <c r="K6" s="7"/>
      <c r="L6" s="18"/>
      <c r="M6" s="19">
        <f>K6*L6/1000</f>
      </c>
      <c r="N6" s="19">
        <f>SUMIFS('Video Log'!O:O,'Video Log'!A:A,"&gt;="&amp;A6,'Video Log'!A:A,"&lt;"&amp;EDATE(A6,1))</f>
      </c>
      <c r="O6" s="10">
        <v>20</v>
      </c>
      <c r="P6" s="19">
        <f>SUM(D6,G6,J6,M6,N6,O6)</f>
      </c>
    </row>
    <row r="7" spans="1:16" x14ac:dyDescent="0.25">
      <c r="A7" s="17">
        <f>EDATE(A6,1)</f>
      </c>
      <c r="B7" s="7"/>
      <c r="C7" s="18"/>
      <c r="D7" s="19">
        <f>B7*C7/1000</f>
      </c>
      <c r="E7" s="7"/>
      <c r="F7" s="18"/>
      <c r="G7" s="19">
        <f>E7*F7/1000</f>
      </c>
      <c r="H7" s="7"/>
      <c r="I7" s="18"/>
      <c r="J7" s="19">
        <f>H7*I7/1000</f>
      </c>
      <c r="K7" s="7"/>
      <c r="L7" s="18"/>
      <c r="M7" s="19">
        <f>K7*L7/1000</f>
      </c>
      <c r="N7" s="19">
        <f>SUMIFS('Video Log'!O:O,'Video Log'!A:A,"&gt;="&amp;A7,'Video Log'!A:A,"&lt;"&amp;EDATE(A7,1))</f>
      </c>
      <c r="O7" s="10"/>
      <c r="P7" s="19">
        <f>SUM(D7,G7,J7,M7,N7,O7)</f>
      </c>
    </row>
    <row r="8" spans="1:16" x14ac:dyDescent="0.25">
      <c r="A8" s="17">
        <f>EDATE(A7,1)</f>
      </c>
      <c r="B8" s="7"/>
      <c r="C8" s="18"/>
      <c r="D8" s="19">
        <f>B8*C8/1000</f>
      </c>
      <c r="E8" s="7"/>
      <c r="F8" s="18"/>
      <c r="G8" s="19">
        <f>E8*F8/1000</f>
      </c>
      <c r="H8" s="7"/>
      <c r="I8" s="18"/>
      <c r="J8" s="19">
        <f>H8*I8/1000</f>
      </c>
      <c r="K8" s="7"/>
      <c r="L8" s="18"/>
      <c r="M8" s="19">
        <f>K8*L8/1000</f>
      </c>
      <c r="N8" s="19">
        <f>SUMIFS('Video Log'!O:O,'Video Log'!A:A,"&gt;="&amp;A8,'Video Log'!A:A,"&lt;"&amp;EDATE(A8,1))</f>
      </c>
      <c r="O8" s="10"/>
      <c r="P8" s="19">
        <f>SUM(D8,G8,J8,M8,N8,O8)</f>
      </c>
    </row>
    <row r="9" spans="1:16" x14ac:dyDescent="0.25">
      <c r="A9" s="17">
        <f>EDATE(A8,1)</f>
      </c>
      <c r="B9" s="7"/>
      <c r="C9" s="18"/>
      <c r="D9" s="19">
        <f>B9*C9/1000</f>
      </c>
      <c r="E9" s="7"/>
      <c r="F9" s="18"/>
      <c r="G9" s="19">
        <f>E9*F9/1000</f>
      </c>
      <c r="H9" s="7"/>
      <c r="I9" s="18"/>
      <c r="J9" s="19">
        <f>H9*I9/1000</f>
      </c>
      <c r="K9" s="7"/>
      <c r="L9" s="18"/>
      <c r="M9" s="19">
        <f>K9*L9/1000</f>
      </c>
      <c r="N9" s="19">
        <f>SUMIFS('Video Log'!O:O,'Video Log'!A:A,"&gt;="&amp;A9,'Video Log'!A:A,"&lt;"&amp;EDATE(A9,1))</f>
      </c>
      <c r="O9" s="10"/>
      <c r="P9" s="19">
        <f>SUM(D9,G9,J9,M9,N9,O9)</f>
      </c>
    </row>
    <row r="10" spans="1:16" x14ac:dyDescent="0.25">
      <c r="A10" s="17">
        <f>EDATE(A9,1)</f>
      </c>
      <c r="B10" s="7"/>
      <c r="C10" s="18"/>
      <c r="D10" s="19">
        <f>B10*C10/1000</f>
      </c>
      <c r="E10" s="7"/>
      <c r="F10" s="18"/>
      <c r="G10" s="19">
        <f>E10*F10/1000</f>
      </c>
      <c r="H10" s="7"/>
      <c r="I10" s="18"/>
      <c r="J10" s="19">
        <f>H10*I10/1000</f>
      </c>
      <c r="K10" s="7"/>
      <c r="L10" s="18"/>
      <c r="M10" s="19">
        <f>K10*L10/1000</f>
      </c>
      <c r="N10" s="19">
        <f>SUMIFS('Video Log'!O:O,'Video Log'!A:A,"&gt;="&amp;A10,'Video Log'!A:A,"&lt;"&amp;EDATE(A10,1))</f>
      </c>
      <c r="O10" s="10"/>
      <c r="P10" s="19">
        <f>SUM(D10,G10,J10,M10,N10,O10)</f>
      </c>
    </row>
    <row r="11" spans="1:16" x14ac:dyDescent="0.25">
      <c r="A11" s="17">
        <f>EDATE(A10,1)</f>
      </c>
      <c r="B11" s="7"/>
      <c r="C11" s="18"/>
      <c r="D11" s="19">
        <f>B11*C11/1000</f>
      </c>
      <c r="E11" s="7"/>
      <c r="F11" s="18"/>
      <c r="G11" s="19">
        <f>E11*F11/1000</f>
      </c>
      <c r="H11" s="7"/>
      <c r="I11" s="18"/>
      <c r="J11" s="19">
        <f>H11*I11/1000</f>
      </c>
      <c r="K11" s="7"/>
      <c r="L11" s="18"/>
      <c r="M11" s="19">
        <f>K11*L11/1000</f>
      </c>
      <c r="N11" s="19">
        <f>SUMIFS('Video Log'!O:O,'Video Log'!A:A,"&gt;="&amp;A11,'Video Log'!A:A,"&lt;"&amp;EDATE(A11,1))</f>
      </c>
      <c r="O11" s="10"/>
      <c r="P11" s="19">
        <f>SUM(D11,G11,J11,M11,N11,O11)</f>
      </c>
    </row>
    <row r="12" spans="1:16" x14ac:dyDescent="0.25">
      <c r="A12" s="17">
        <f>EDATE(A11,1)</f>
      </c>
      <c r="B12" s="7"/>
      <c r="C12" s="18"/>
      <c r="D12" s="19">
        <f>B12*C12/1000</f>
      </c>
      <c r="E12" s="7"/>
      <c r="F12" s="18"/>
      <c r="G12" s="19">
        <f>E12*F12/1000</f>
      </c>
      <c r="H12" s="7"/>
      <c r="I12" s="18"/>
      <c r="J12" s="19">
        <f>H12*I12/1000</f>
      </c>
      <c r="K12" s="7"/>
      <c r="L12" s="18"/>
      <c r="M12" s="19">
        <f>K12*L12/1000</f>
      </c>
      <c r="N12" s="19">
        <f>SUMIFS('Video Log'!O:O,'Video Log'!A:A,"&gt;="&amp;A12,'Video Log'!A:A,"&lt;"&amp;EDATE(A12,1))</f>
      </c>
      <c r="O12" s="10"/>
      <c r="P12" s="19">
        <f>SUM(D12,G12,J12,M12,N12,O12)</f>
      </c>
    </row>
    <row r="13" spans="1:16" x14ac:dyDescent="0.25">
      <c r="A13" s="17">
        <f>EDATE(A12,1)</f>
      </c>
      <c r="B13" s="7"/>
      <c r="C13" s="18"/>
      <c r="D13" s="19">
        <f>B13*C13/1000</f>
      </c>
      <c r="E13" s="7"/>
      <c r="F13" s="18"/>
      <c r="G13" s="19">
        <f>E13*F13/1000</f>
      </c>
      <c r="H13" s="7"/>
      <c r="I13" s="18"/>
      <c r="J13" s="19">
        <f>H13*I13/1000</f>
      </c>
      <c r="K13" s="7"/>
      <c r="L13" s="18"/>
      <c r="M13" s="19">
        <f>K13*L13/1000</f>
      </c>
      <c r="N13" s="19">
        <f>SUMIFS('Video Log'!O:O,'Video Log'!A:A,"&gt;="&amp;A13,'Video Log'!A:A,"&lt;"&amp;EDATE(A13,1))</f>
      </c>
      <c r="O13" s="10"/>
      <c r="P13" s="19">
        <f>SUM(D13,G13,J13,M13,N13,O13)</f>
      </c>
    </row>
    <row r="14" spans="1:16" x14ac:dyDescent="0.25">
      <c r="A14" s="17">
        <f>EDATE(A13,1)</f>
      </c>
      <c r="B14" s="7"/>
      <c r="C14" s="18"/>
      <c r="D14" s="19">
        <f>B14*C14/1000</f>
      </c>
      <c r="E14" s="7"/>
      <c r="F14" s="18"/>
      <c r="G14" s="19">
        <f>E14*F14/1000</f>
      </c>
      <c r="H14" s="7"/>
      <c r="I14" s="18"/>
      <c r="J14" s="19">
        <f>H14*I14/1000</f>
      </c>
      <c r="K14" s="7"/>
      <c r="L14" s="18"/>
      <c r="M14" s="19">
        <f>K14*L14/1000</f>
      </c>
      <c r="N14" s="19">
        <f>SUMIFS('Video Log'!O:O,'Video Log'!A:A,"&gt;="&amp;A14,'Video Log'!A:A,"&lt;"&amp;EDATE(A14,1))</f>
      </c>
      <c r="O14" s="10"/>
      <c r="P14" s="19">
        <f>SUM(D14,G14,J14,M14,N14,O14)</f>
      </c>
    </row>
    <row r="15" spans="1:16" x14ac:dyDescent="0.25">
      <c r="A15" s="17">
        <f>EDATE(A14,1)</f>
      </c>
      <c r="B15" s="7"/>
      <c r="C15" s="18"/>
      <c r="D15" s="19">
        <f>B15*C15/1000</f>
      </c>
      <c r="E15" s="7"/>
      <c r="F15" s="18"/>
      <c r="G15" s="19">
        <f>E15*F15/1000</f>
      </c>
      <c r="H15" s="7"/>
      <c r="I15" s="18"/>
      <c r="J15" s="19">
        <f>H15*I15/1000</f>
      </c>
      <c r="K15" s="7"/>
      <c r="L15" s="18"/>
      <c r="M15" s="19">
        <f>K15*L15/1000</f>
      </c>
      <c r="N15" s="19">
        <f>SUMIFS('Video Log'!O:O,'Video Log'!A:A,"&gt;="&amp;A15,'Video Log'!A:A,"&lt;"&amp;EDATE(A15,1))</f>
      </c>
      <c r="O15" s="10"/>
      <c r="P15" s="19">
        <f>SUM(D15,G15,J15,M15,N15,O15)</f>
      </c>
    </row>
    <row r="16" spans="1:16" x14ac:dyDescent="0.25">
      <c r="A16" s="17">
        <f>EDATE(A15,1)</f>
      </c>
      <c r="B16" s="7"/>
      <c r="C16" s="18"/>
      <c r="D16" s="19">
        <f>B16*C16/1000</f>
      </c>
      <c r="E16" s="7"/>
      <c r="F16" s="18"/>
      <c r="G16" s="19">
        <f>E16*F16/1000</f>
      </c>
      <c r="H16" s="7"/>
      <c r="I16" s="18"/>
      <c r="J16" s="19">
        <f>H16*I16/1000</f>
      </c>
      <c r="K16" s="7"/>
      <c r="L16" s="18"/>
      <c r="M16" s="19">
        <f>K16*L16/1000</f>
      </c>
      <c r="N16" s="19">
        <f>SUMIFS('Video Log'!O:O,'Video Log'!A:A,"&gt;="&amp;A16,'Video Log'!A:A,"&lt;"&amp;EDATE(A16,1))</f>
      </c>
      <c r="O16" s="10"/>
      <c r="P16" s="19">
        <f>SUM(D16,G16,J16,M16,N16,O16)</f>
      </c>
    </row>
    <row r="17" spans="1:16" x14ac:dyDescent="0.25">
      <c r="A17" s="17" t="s">
        <v>259</v>
      </c>
      <c r="B17" s="7"/>
      <c r="C17" s="18"/>
      <c r="D17" s="19">
        <f>SUM(D5:D16)</f>
      </c>
      <c r="E17" s="7"/>
      <c r="F17" s="18"/>
      <c r="G17" s="19">
        <f>SUM(G5:G16)</f>
      </c>
      <c r="H17" s="7"/>
      <c r="I17" s="18"/>
      <c r="J17" s="19">
        <f>SUM(J5:J16)</f>
      </c>
      <c r="K17" s="7"/>
      <c r="L17" s="18"/>
      <c r="M17" s="19">
        <f>SUM(M5:M16)</f>
      </c>
      <c r="N17" s="19">
        <f>SUM(N5:N16)</f>
      </c>
      <c r="O17" s="10">
        <f>SUM(O5:O16)</f>
      </c>
      <c r="P17" s="19">
        <f>SUM(P5:P16)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5" customWidth="1"/>
    <col min="4" max="4" width="12" customWidth="1"/>
    <col min="5" max="5" width="13" customWidth="1"/>
    <col min="6" max="6" width="12" customWidth="1"/>
    <col min="7" max="7" width="24" customWidth="1"/>
    <col min="8" max="8" width="12" customWidth="1"/>
    <col min="9" max="10" width="11" customWidth="1"/>
    <col min="11" max="11" width="16" customWidth="1"/>
    <col min="12" max="12" width="7" customWidth="1"/>
  </cols>
  <sheetData>
    <row r="1" spans="1:1" x14ac:dyDescent="0.25">
      <c r="A1" s="1" t="s">
        <v>40</v>
      </c>
    </row>
    <row r="2" spans="1:1" x14ac:dyDescent="0.25">
      <c r="A2" s="2" t="s">
        <v>260</v>
      </c>
    </row>
    <row r="4" spans="1:12" x14ac:dyDescent="0.25">
      <c r="A4" s="3" t="s">
        <v>261</v>
      </c>
      <c r="B4" s="3" t="s">
        <v>262</v>
      </c>
      <c r="C4" s="3" t="s">
        <v>263</v>
      </c>
      <c r="D4" s="3" t="s">
        <v>264</v>
      </c>
      <c r="E4" s="3" t="s">
        <v>227</v>
      </c>
      <c r="F4" s="3" t="s">
        <v>265</v>
      </c>
      <c r="G4" s="3" t="s">
        <v>266</v>
      </c>
      <c r="H4" s="3" t="s">
        <v>267</v>
      </c>
      <c r="I4" s="3" t="s">
        <v>268</v>
      </c>
      <c r="J4" s="3" t="s">
        <v>268</v>
      </c>
      <c r="K4" s="3" t="s">
        <v>268</v>
      </c>
      <c r="L4" s="3" t="s">
        <v>269</v>
      </c>
    </row>
    <row r="5" spans="1:2" x14ac:dyDescent="0.25">
      <c r="A5" s="4" t="s">
        <v>270</v>
      </c>
      <c r="B5" s="12">
        <f>COUNTIFS('Video Log'!A:A,"&gt;="&amp;(TODAY()-WEEKDAY(TODAY(),3)),'Video Log'!A:A,"&lt;="&amp;TODAY())&amp;" / "&amp;Settings!$B$7&amp;" goal"</f>
      </c>
    </row>
    <row r="6" spans="1:2" x14ac:dyDescent="0.25">
      <c r="A6" s="4" t="s">
        <v>271</v>
      </c>
      <c r="B6" s="12">
        <f>COUNTIFS('Video Log'!H:H,"&gt;=0")</f>
      </c>
    </row>
    <row r="7" spans="1:2" x14ac:dyDescent="0.25">
      <c r="A7" s="4" t="s">
        <v>272</v>
      </c>
      <c r="B7" s="12">
        <f>SUM('Video Log'!H:H)</f>
      </c>
    </row>
    <row r="8" spans="1:2" x14ac:dyDescent="0.25">
      <c r="A8" s="4" t="s">
        <v>273</v>
      </c>
      <c r="B8" s="11">
        <f>IFERROR((SUM('Video Log'!J:J)+SUM('Video Log'!K:K)+SUM('Video Log'!L:L))/SUM('Video Log'!H:H),"")</f>
      </c>
    </row>
    <row r="9" spans="1:2" x14ac:dyDescent="0.25">
      <c r="A9" s="4" t="s">
        <v>274</v>
      </c>
      <c r="B9" s="15">
        <f>COUNTIFS('Video Log'!T:T,"*Winner")</f>
      </c>
    </row>
    <row r="10" spans="1:2" x14ac:dyDescent="0.25">
      <c r="A10" s="4" t="s">
        <v>275</v>
      </c>
      <c r="B10" s="19">
        <f>SUMIFS('Revenue Estimator'!P:P,'Revenue Estimator'!A:A,EOMONTH(TODAY(),-1)+1)</f>
      </c>
    </row>
    <row r="12" spans="1:7" x14ac:dyDescent="0.25">
      <c r="A12" s="4" t="s">
        <v>276</v>
      </c>
      <c r="B12" s="12" t="s">
        <v>277</v>
      </c>
      <c r="C12" s="12" t="s">
        <v>263</v>
      </c>
      <c r="D12" s="15" t="s">
        <v>264</v>
      </c>
      <c r="E12" s="11" t="s">
        <v>227</v>
      </c>
      <c r="F12" s="4" t="s">
        <v>265</v>
      </c>
      <c r="G12" s="4" t="s">
        <v>266</v>
      </c>
    </row>
    <row r="13" spans="1:7" x14ac:dyDescent="0.25">
      <c r="A13" s="4">
        <f>Settings!E5&amp;""</f>
      </c>
      <c r="B13" s="12">
        <f>IF(A13="","",COUNTIFS('Video Log'!D:D,A13,'Video Log'!H:H,"&gt;=0"))</f>
      </c>
      <c r="C13" s="12">
        <f>IF(SUM(B13)=0,"",AVERAGEIFS('Video Log'!H:H,'Video Log'!D:D,A13))</f>
      </c>
      <c r="D13" s="15">
        <f>IF(C13="","",COUNTIFS('Video Log'!D:D,A13,'Video Log'!T:T,"*Winner"))</f>
      </c>
      <c r="E13" s="11">
        <f>IF(C13="","",IFERROR(AVERAGEIFS('Video Log'!U:U,'Video Log'!D:D,A13),""))</f>
      </c>
      <c r="F13" s="4">
        <f>IF(C13="","",IF(C13=MAX(C$13:C$22),"★ Best",""))</f>
      </c>
      <c r="G13" s="4">
        <f>IF(C13="","",REPT("█",ROUND(C13/MAX(C$13:C$22)*20,0)))</f>
      </c>
    </row>
    <row r="14" spans="1:7" x14ac:dyDescent="0.25">
      <c r="A14" s="4">
        <f>Settings!E6&amp;""</f>
      </c>
      <c r="B14" s="12">
        <f>IF(A14="","",COUNTIFS('Video Log'!D:D,A14,'Video Log'!H:H,"&gt;=0"))</f>
      </c>
      <c r="C14" s="12">
        <f>IF(SUM(B14)=0,"",AVERAGEIFS('Video Log'!H:H,'Video Log'!D:D,A14))</f>
      </c>
      <c r="D14" s="15">
        <f>IF(C14="","",COUNTIFS('Video Log'!D:D,A14,'Video Log'!T:T,"*Winner"))</f>
      </c>
      <c r="E14" s="11">
        <f>IF(C14="","",IFERROR(AVERAGEIFS('Video Log'!U:U,'Video Log'!D:D,A14),""))</f>
      </c>
      <c r="F14" s="4">
        <f>IF(C14="","",IF(C14=MAX(C$13:C$22),"★ Best",""))</f>
      </c>
      <c r="G14" s="4">
        <f>IF(C14="","",REPT("█",ROUND(C14/MAX(C$13:C$22)*20,0)))</f>
      </c>
    </row>
    <row r="15" spans="1:7" x14ac:dyDescent="0.25">
      <c r="A15" s="4">
        <f>Settings!E7&amp;""</f>
      </c>
      <c r="B15" s="12">
        <f>IF(A15="","",COUNTIFS('Video Log'!D:D,A15,'Video Log'!H:H,"&gt;=0"))</f>
      </c>
      <c r="C15" s="12">
        <f>IF(SUM(B15)=0,"",AVERAGEIFS('Video Log'!H:H,'Video Log'!D:D,A15))</f>
      </c>
      <c r="D15" s="15">
        <f>IF(C15="","",COUNTIFS('Video Log'!D:D,A15,'Video Log'!T:T,"*Winner"))</f>
      </c>
      <c r="E15" s="11">
        <f>IF(C15="","",IFERROR(AVERAGEIFS('Video Log'!U:U,'Video Log'!D:D,A15),""))</f>
      </c>
      <c r="F15" s="4">
        <f>IF(C15="","",IF(C15=MAX(C$13:C$22),"★ Best",""))</f>
      </c>
      <c r="G15" s="4">
        <f>IF(C15="","",REPT("█",ROUND(C15/MAX(C$13:C$22)*20,0)))</f>
      </c>
    </row>
    <row r="16" spans="1:7" x14ac:dyDescent="0.25">
      <c r="A16" s="4">
        <f>Settings!E8&amp;""</f>
      </c>
      <c r="B16" s="12">
        <f>IF(A16="","",COUNTIFS('Video Log'!D:D,A16,'Video Log'!H:H,"&gt;=0"))</f>
      </c>
      <c r="C16" s="12">
        <f>IF(SUM(B16)=0,"",AVERAGEIFS('Video Log'!H:H,'Video Log'!D:D,A16))</f>
      </c>
      <c r="D16" s="15">
        <f>IF(C16="","",COUNTIFS('Video Log'!D:D,A16,'Video Log'!T:T,"*Winner"))</f>
      </c>
      <c r="E16" s="11">
        <f>IF(C16="","",IFERROR(AVERAGEIFS('Video Log'!U:U,'Video Log'!D:D,A16),""))</f>
      </c>
      <c r="F16" s="4">
        <f>IF(C16="","",IF(C16=MAX(C$13:C$22),"★ Best",""))</f>
      </c>
      <c r="G16" s="4">
        <f>IF(C16="","",REPT("█",ROUND(C16/MAX(C$13:C$22)*20,0)))</f>
      </c>
    </row>
    <row r="17" spans="1:7" x14ac:dyDescent="0.25">
      <c r="A17" s="4">
        <f>Settings!E9&amp;""</f>
      </c>
      <c r="B17" s="12">
        <f>IF(A17="","",COUNTIFS('Video Log'!D:D,A17,'Video Log'!H:H,"&gt;=0"))</f>
      </c>
      <c r="C17" s="12">
        <f>IF(SUM(B17)=0,"",AVERAGEIFS('Video Log'!H:H,'Video Log'!D:D,A17))</f>
      </c>
      <c r="D17" s="15">
        <f>IF(C17="","",COUNTIFS('Video Log'!D:D,A17,'Video Log'!T:T,"*Winner"))</f>
      </c>
      <c r="E17" s="11">
        <f>IF(C17="","",IFERROR(AVERAGEIFS('Video Log'!U:U,'Video Log'!D:D,A17),""))</f>
      </c>
      <c r="F17" s="4">
        <f>IF(C17="","",IF(C17=MAX(C$13:C$22),"★ Best",""))</f>
      </c>
      <c r="G17" s="4">
        <f>IF(C17="","",REPT("█",ROUND(C17/MAX(C$13:C$22)*20,0)))</f>
      </c>
    </row>
    <row r="18" spans="1:7" x14ac:dyDescent="0.25">
      <c r="A18" s="4">
        <f>Settings!E10&amp;""</f>
      </c>
      <c r="B18" s="12">
        <f>IF(A18="","",COUNTIFS('Video Log'!D:D,A18,'Video Log'!H:H,"&gt;=0"))</f>
      </c>
      <c r="C18" s="12">
        <f>IF(SUM(B18)=0,"",AVERAGEIFS('Video Log'!H:H,'Video Log'!D:D,A18))</f>
      </c>
      <c r="D18" s="15">
        <f>IF(C18="","",COUNTIFS('Video Log'!D:D,A18,'Video Log'!T:T,"*Winner"))</f>
      </c>
      <c r="E18" s="11">
        <f>IF(C18="","",IFERROR(AVERAGEIFS('Video Log'!U:U,'Video Log'!D:D,A18),""))</f>
      </c>
      <c r="F18" s="4">
        <f>IF(C18="","",IF(C18=MAX(C$13:C$22),"★ Best",""))</f>
      </c>
      <c r="G18" s="4">
        <f>IF(C18="","",REPT("█",ROUND(C18/MAX(C$13:C$22)*20,0)))</f>
      </c>
    </row>
    <row r="19" spans="1:7" x14ac:dyDescent="0.25">
      <c r="A19" s="4">
        <f>Settings!E11&amp;""</f>
      </c>
      <c r="B19" s="12">
        <f>IF(A19="","",COUNTIFS('Video Log'!D:D,A19,'Video Log'!H:H,"&gt;=0"))</f>
      </c>
      <c r="C19" s="12">
        <f>IF(SUM(B19)=0,"",AVERAGEIFS('Video Log'!H:H,'Video Log'!D:D,A19))</f>
      </c>
      <c r="D19" s="15">
        <f>IF(C19="","",COUNTIFS('Video Log'!D:D,A19,'Video Log'!T:T,"*Winner"))</f>
      </c>
      <c r="E19" s="11">
        <f>IF(C19="","",IFERROR(AVERAGEIFS('Video Log'!U:U,'Video Log'!D:D,A19),""))</f>
      </c>
      <c r="F19" s="4">
        <f>IF(C19="","",IF(C19=MAX(C$13:C$22),"★ Best",""))</f>
      </c>
      <c r="G19" s="4">
        <f>IF(C19="","",REPT("█",ROUND(C19/MAX(C$13:C$22)*20,0)))</f>
      </c>
    </row>
    <row r="20" spans="1:7" x14ac:dyDescent="0.25">
      <c r="A20" s="4">
        <f>Settings!E12&amp;""</f>
      </c>
      <c r="B20" s="12">
        <f>IF(A20="","",COUNTIFS('Video Log'!D:D,A20,'Video Log'!H:H,"&gt;=0"))</f>
      </c>
      <c r="C20" s="12">
        <f>IF(SUM(B20)=0,"",AVERAGEIFS('Video Log'!H:H,'Video Log'!D:D,A20))</f>
      </c>
      <c r="D20" s="15">
        <f>IF(C20="","",COUNTIFS('Video Log'!D:D,A20,'Video Log'!T:T,"*Winner"))</f>
      </c>
      <c r="E20" s="11">
        <f>IF(C20="","",IFERROR(AVERAGEIFS('Video Log'!U:U,'Video Log'!D:D,A20),""))</f>
      </c>
      <c r="F20" s="4">
        <f>IF(C20="","",IF(C20=MAX(C$13:C$22),"★ Best",""))</f>
      </c>
      <c r="G20" s="4">
        <f>IF(C20="","",REPT("█",ROUND(C20/MAX(C$13:C$22)*20,0)))</f>
      </c>
    </row>
    <row r="21" spans="1:7" x14ac:dyDescent="0.25">
      <c r="A21" s="4">
        <f>Settings!E13&amp;""</f>
      </c>
      <c r="B21" s="12">
        <f>IF(A21="","",COUNTIFS('Video Log'!D:D,A21,'Video Log'!H:H,"&gt;=0"))</f>
      </c>
      <c r="C21" s="12">
        <f>IF(SUM(B21)=0,"",AVERAGEIFS('Video Log'!H:H,'Video Log'!D:D,A21))</f>
      </c>
      <c r="D21" s="15">
        <f>IF(C21="","",COUNTIFS('Video Log'!D:D,A21,'Video Log'!T:T,"*Winner"))</f>
      </c>
      <c r="E21" s="11">
        <f>IF(C21="","",IFERROR(AVERAGEIFS('Video Log'!U:U,'Video Log'!D:D,A21),""))</f>
      </c>
      <c r="F21" s="4">
        <f>IF(C21="","",IF(C21=MAX(C$13:C$22),"★ Best",""))</f>
      </c>
      <c r="G21" s="4">
        <f>IF(C21="","",REPT("█",ROUND(C21/MAX(C$13:C$22)*20,0)))</f>
      </c>
    </row>
    <row r="22" spans="1:7" x14ac:dyDescent="0.25">
      <c r="A22" s="4">
        <f>Settings!E14&amp;""</f>
      </c>
      <c r="B22" s="12">
        <f>IF(A22="","",COUNTIFS('Video Log'!D:D,A22,'Video Log'!H:H,"&gt;=0"))</f>
      </c>
      <c r="C22" s="12">
        <f>IF(SUM(B22)=0,"",AVERAGEIFS('Video Log'!H:H,'Video Log'!D:D,A22))</f>
      </c>
      <c r="D22" s="15">
        <f>IF(C22="","",COUNTIFS('Video Log'!D:D,A22,'Video Log'!T:T,"*Winner"))</f>
      </c>
      <c r="E22" s="11">
        <f>IF(C22="","",IFERROR(AVERAGEIFS('Video Log'!U:U,'Video Log'!D:D,A22),""))</f>
      </c>
      <c r="F22" s="4">
        <f>IF(C22="","",IF(C22=MAX(C$13:C$22),"★ Best",""))</f>
      </c>
      <c r="G22" s="4">
        <f>IF(C22="","",REPT("█",ROUND(C22/MAX(C$13:C$22)*20,0)))</f>
      </c>
    </row>
    <row r="24" spans="1:7" x14ac:dyDescent="0.25">
      <c r="A24" s="4" t="s">
        <v>278</v>
      </c>
      <c r="B24" s="12" t="s">
        <v>277</v>
      </c>
      <c r="C24" s="12" t="s">
        <v>263</v>
      </c>
      <c r="D24" s="15" t="s">
        <v>264</v>
      </c>
      <c r="E24" s="11" t="s">
        <v>227</v>
      </c>
      <c r="F24" s="4" t="s">
        <v>265</v>
      </c>
      <c r="G24" s="4" t="s">
        <v>266</v>
      </c>
    </row>
    <row r="25" spans="1:7" x14ac:dyDescent="0.25">
      <c r="A25" s="4">
        <f>Settings!D5&amp;""</f>
      </c>
      <c r="B25" s="12">
        <f>IF(A25="","",COUNTIFS('Video Log'!C:C,A25,'Video Log'!H:H,"&gt;=0"))</f>
      </c>
      <c r="C25" s="12">
        <f>IF(SUM(B25)=0,"",AVERAGEIFS('Video Log'!H:H,'Video Log'!C:C,A25))</f>
      </c>
      <c r="D25" s="15">
        <f>IF(C25="","",COUNTIFS('Video Log'!C:C,A25,'Video Log'!T:T,"*Winner"))</f>
      </c>
      <c r="E25" s="11">
        <f>IF(C25="","",IFERROR(AVERAGEIFS('Video Log'!U:U,'Video Log'!C:C,A25),""))</f>
      </c>
      <c r="F25" s="4">
        <f>IF(C25="","",IF(C25=MAX(C$25:C$34),"★ Best",""))</f>
      </c>
      <c r="G25" s="4">
        <f>IF(C25="","",REPT("█",ROUND(C25/MAX(C$25:C$34)*20,0)))</f>
      </c>
    </row>
    <row r="26" spans="1:7" x14ac:dyDescent="0.25">
      <c r="A26" s="4">
        <f>Settings!D6&amp;""</f>
      </c>
      <c r="B26" s="12">
        <f>IF(A26="","",COUNTIFS('Video Log'!C:C,A26,'Video Log'!H:H,"&gt;=0"))</f>
      </c>
      <c r="C26" s="12">
        <f>IF(SUM(B26)=0,"",AVERAGEIFS('Video Log'!H:H,'Video Log'!C:C,A26))</f>
      </c>
      <c r="D26" s="15">
        <f>IF(C26="","",COUNTIFS('Video Log'!C:C,A26,'Video Log'!T:T,"*Winner"))</f>
      </c>
      <c r="E26" s="11">
        <f>IF(C26="","",IFERROR(AVERAGEIFS('Video Log'!U:U,'Video Log'!C:C,A26),""))</f>
      </c>
      <c r="F26" s="4">
        <f>IF(C26="","",IF(C26=MAX(C$25:C$34),"★ Best",""))</f>
      </c>
      <c r="G26" s="4">
        <f>IF(C26="","",REPT("█",ROUND(C26/MAX(C$25:C$34)*20,0)))</f>
      </c>
    </row>
    <row r="27" spans="1:7" x14ac:dyDescent="0.25">
      <c r="A27" s="4">
        <f>Settings!D7&amp;""</f>
      </c>
      <c r="B27" s="12">
        <f>IF(A27="","",COUNTIFS('Video Log'!C:C,A27,'Video Log'!H:H,"&gt;=0"))</f>
      </c>
      <c r="C27" s="12">
        <f>IF(SUM(B27)=0,"",AVERAGEIFS('Video Log'!H:H,'Video Log'!C:C,A27))</f>
      </c>
      <c r="D27" s="15">
        <f>IF(C27="","",COUNTIFS('Video Log'!C:C,A27,'Video Log'!T:T,"*Winner"))</f>
      </c>
      <c r="E27" s="11">
        <f>IF(C27="","",IFERROR(AVERAGEIFS('Video Log'!U:U,'Video Log'!C:C,A27),""))</f>
      </c>
      <c r="F27" s="4">
        <f>IF(C27="","",IF(C27=MAX(C$25:C$34),"★ Best",""))</f>
      </c>
      <c r="G27" s="4">
        <f>IF(C27="","",REPT("█",ROUND(C27/MAX(C$25:C$34)*20,0)))</f>
      </c>
    </row>
    <row r="28" spans="1:7" x14ac:dyDescent="0.25">
      <c r="A28" s="4">
        <f>Settings!D8&amp;""</f>
      </c>
      <c r="B28" s="12">
        <f>IF(A28="","",COUNTIFS('Video Log'!C:C,A28,'Video Log'!H:H,"&gt;=0"))</f>
      </c>
      <c r="C28" s="12">
        <f>IF(SUM(B28)=0,"",AVERAGEIFS('Video Log'!H:H,'Video Log'!C:C,A28))</f>
      </c>
      <c r="D28" s="15">
        <f>IF(C28="","",COUNTIFS('Video Log'!C:C,A28,'Video Log'!T:T,"*Winner"))</f>
      </c>
      <c r="E28" s="11">
        <f>IF(C28="","",IFERROR(AVERAGEIFS('Video Log'!U:U,'Video Log'!C:C,A28),""))</f>
      </c>
      <c r="F28" s="4">
        <f>IF(C28="","",IF(C28=MAX(C$25:C$34),"★ Best",""))</f>
      </c>
      <c r="G28" s="4">
        <f>IF(C28="","",REPT("█",ROUND(C28/MAX(C$25:C$34)*20,0)))</f>
      </c>
    </row>
    <row r="29" spans="1:7" x14ac:dyDescent="0.25">
      <c r="A29" s="4">
        <f>Settings!D9&amp;""</f>
      </c>
      <c r="B29" s="12">
        <f>IF(A29="","",COUNTIFS('Video Log'!C:C,A29,'Video Log'!H:H,"&gt;=0"))</f>
      </c>
      <c r="C29" s="12">
        <f>IF(SUM(B29)=0,"",AVERAGEIFS('Video Log'!H:H,'Video Log'!C:C,A29))</f>
      </c>
      <c r="D29" s="15">
        <f>IF(C29="","",COUNTIFS('Video Log'!C:C,A29,'Video Log'!T:T,"*Winner"))</f>
      </c>
      <c r="E29" s="11">
        <f>IF(C29="","",IFERROR(AVERAGEIFS('Video Log'!U:U,'Video Log'!C:C,A29),""))</f>
      </c>
      <c r="F29" s="4">
        <f>IF(C29="","",IF(C29=MAX(C$25:C$34),"★ Best",""))</f>
      </c>
      <c r="G29" s="4">
        <f>IF(C29="","",REPT("█",ROUND(C29/MAX(C$25:C$34)*20,0)))</f>
      </c>
    </row>
    <row r="30" spans="1:7" x14ac:dyDescent="0.25">
      <c r="A30" s="4">
        <f>Settings!D10&amp;""</f>
      </c>
      <c r="B30" s="12">
        <f>IF(A30="","",COUNTIFS('Video Log'!C:C,A30,'Video Log'!H:H,"&gt;=0"))</f>
      </c>
      <c r="C30" s="12">
        <f>IF(SUM(B30)=0,"",AVERAGEIFS('Video Log'!H:H,'Video Log'!C:C,A30))</f>
      </c>
      <c r="D30" s="15">
        <f>IF(C30="","",COUNTIFS('Video Log'!C:C,A30,'Video Log'!T:T,"*Winner"))</f>
      </c>
      <c r="E30" s="11">
        <f>IF(C30="","",IFERROR(AVERAGEIFS('Video Log'!U:U,'Video Log'!C:C,A30),""))</f>
      </c>
      <c r="F30" s="4">
        <f>IF(C30="","",IF(C30=MAX(C$25:C$34),"★ Best",""))</f>
      </c>
      <c r="G30" s="4">
        <f>IF(C30="","",REPT("█",ROUND(C30/MAX(C$25:C$34)*20,0)))</f>
      </c>
    </row>
    <row r="31" spans="1:7" x14ac:dyDescent="0.25">
      <c r="A31" s="4">
        <f>Settings!D11&amp;""</f>
      </c>
      <c r="B31" s="12">
        <f>IF(A31="","",COUNTIFS('Video Log'!C:C,A31,'Video Log'!H:H,"&gt;=0"))</f>
      </c>
      <c r="C31" s="12">
        <f>IF(SUM(B31)=0,"",AVERAGEIFS('Video Log'!H:H,'Video Log'!C:C,A31))</f>
      </c>
      <c r="D31" s="15">
        <f>IF(C31="","",COUNTIFS('Video Log'!C:C,A31,'Video Log'!T:T,"*Winner"))</f>
      </c>
      <c r="E31" s="11">
        <f>IF(C31="","",IFERROR(AVERAGEIFS('Video Log'!U:U,'Video Log'!C:C,A31),""))</f>
      </c>
      <c r="F31" s="4">
        <f>IF(C31="","",IF(C31=MAX(C$25:C$34),"★ Best",""))</f>
      </c>
      <c r="G31" s="4">
        <f>IF(C31="","",REPT("█",ROUND(C31/MAX(C$25:C$34)*20,0)))</f>
      </c>
    </row>
    <row r="32" spans="1:7" x14ac:dyDescent="0.25">
      <c r="A32" s="4">
        <f>Settings!D12&amp;""</f>
      </c>
      <c r="B32" s="12">
        <f>IF(A32="","",COUNTIFS('Video Log'!C:C,A32,'Video Log'!H:H,"&gt;=0"))</f>
      </c>
      <c r="C32" s="12">
        <f>IF(SUM(B32)=0,"",AVERAGEIFS('Video Log'!H:H,'Video Log'!C:C,A32))</f>
      </c>
      <c r="D32" s="15">
        <f>IF(C32="","",COUNTIFS('Video Log'!C:C,A32,'Video Log'!T:T,"*Winner"))</f>
      </c>
      <c r="E32" s="11">
        <f>IF(C32="","",IFERROR(AVERAGEIFS('Video Log'!U:U,'Video Log'!C:C,A32),""))</f>
      </c>
      <c r="F32" s="4">
        <f>IF(C32="","",IF(C32=MAX(C$25:C$34),"★ Best",""))</f>
      </c>
      <c r="G32" s="4">
        <f>IF(C32="","",REPT("█",ROUND(C32/MAX(C$25:C$34)*20,0)))</f>
      </c>
    </row>
    <row r="33" spans="1:7" x14ac:dyDescent="0.25">
      <c r="A33" s="4">
        <f>Settings!D13&amp;""</f>
      </c>
      <c r="B33" s="12">
        <f>IF(A33="","",COUNTIFS('Video Log'!C:C,A33,'Video Log'!H:H,"&gt;=0"))</f>
      </c>
      <c r="C33" s="12">
        <f>IF(SUM(B33)=0,"",AVERAGEIFS('Video Log'!H:H,'Video Log'!C:C,A33))</f>
      </c>
      <c r="D33" s="15">
        <f>IF(C33="","",COUNTIFS('Video Log'!C:C,A33,'Video Log'!T:T,"*Winner"))</f>
      </c>
      <c r="E33" s="11">
        <f>IF(C33="","",IFERROR(AVERAGEIFS('Video Log'!U:U,'Video Log'!C:C,A33),""))</f>
      </c>
      <c r="F33" s="4">
        <f>IF(C33="","",IF(C33=MAX(C$25:C$34),"★ Best",""))</f>
      </c>
      <c r="G33" s="4">
        <f>IF(C33="","",REPT("█",ROUND(C33/MAX(C$25:C$34)*20,0)))</f>
      </c>
    </row>
    <row r="34" spans="1:7" x14ac:dyDescent="0.25">
      <c r="A34" s="4">
        <f>Settings!D14&amp;""</f>
      </c>
      <c r="B34" s="12">
        <f>IF(A34="","",COUNTIFS('Video Log'!C:C,A34,'Video Log'!H:H,"&gt;=0"))</f>
      </c>
      <c r="C34" s="12">
        <f>IF(SUM(B34)=0,"",AVERAGEIFS('Video Log'!H:H,'Video Log'!C:C,A34))</f>
      </c>
      <c r="D34" s="15">
        <f>IF(C34="","",COUNTIFS('Video Log'!C:C,A34,'Video Log'!T:T,"*Winner"))</f>
      </c>
      <c r="E34" s="11">
        <f>IF(C34="","",IFERROR(AVERAGEIFS('Video Log'!U:U,'Video Log'!C:C,A34),""))</f>
      </c>
      <c r="F34" s="4">
        <f>IF(C34="","",IF(C34=MAX(C$25:C$34),"★ Best",""))</f>
      </c>
      <c r="G34" s="4">
        <f>IF(C34="","",REPT("█",ROUND(C34/MAX(C$25:C$34)*20,0)))</f>
      </c>
    </row>
    <row r="36" spans="1:7" x14ac:dyDescent="0.25">
      <c r="A36" s="4" t="s">
        <v>279</v>
      </c>
      <c r="B36" s="12" t="s">
        <v>277</v>
      </c>
      <c r="C36" s="12" t="s">
        <v>263</v>
      </c>
      <c r="D36" s="15" t="s">
        <v>264</v>
      </c>
      <c r="E36" s="11" t="s">
        <v>227</v>
      </c>
      <c r="F36" s="4" t="s">
        <v>265</v>
      </c>
      <c r="G36" s="4" t="s">
        <v>266</v>
      </c>
    </row>
    <row r="37" spans="1:7" x14ac:dyDescent="0.25">
      <c r="A37" s="4">
        <f>Settings!F5&amp;""</f>
      </c>
      <c r="B37" s="12">
        <f>IF(A37="","",COUNTIFS('Video Log'!E:E,A37,'Video Log'!H:H,"&gt;=0"))</f>
      </c>
      <c r="C37" s="12">
        <f>IF(SUM(B37)=0,"",AVERAGEIFS('Video Log'!H:H,'Video Log'!E:E,A37))</f>
      </c>
      <c r="D37" s="15">
        <f>IF(C37="","",COUNTIFS('Video Log'!E:E,A37,'Video Log'!T:T,"*Winner"))</f>
      </c>
      <c r="E37" s="11">
        <f>IF(C37="","",IFERROR(AVERAGEIFS('Video Log'!U:U,'Video Log'!E:E,A37),""))</f>
      </c>
      <c r="F37" s="4">
        <f>IF(C37="","",IF(C37=MAX(C$37:C$40),"★ Best",""))</f>
      </c>
      <c r="G37" s="4">
        <f>IF(C37="","",REPT("█",ROUND(C37/MAX(C$37:C$40)*20,0)))</f>
      </c>
    </row>
    <row r="38" spans="1:7" x14ac:dyDescent="0.25">
      <c r="A38" s="4">
        <f>Settings!F6&amp;""</f>
      </c>
      <c r="B38" s="12">
        <f>IF(A38="","",COUNTIFS('Video Log'!E:E,A38,'Video Log'!H:H,"&gt;=0"))</f>
      </c>
      <c r="C38" s="12">
        <f>IF(SUM(B38)=0,"",AVERAGEIFS('Video Log'!H:H,'Video Log'!E:E,A38))</f>
      </c>
      <c r="D38" s="15">
        <f>IF(C38="","",COUNTIFS('Video Log'!E:E,A38,'Video Log'!T:T,"*Winner"))</f>
      </c>
      <c r="E38" s="11">
        <f>IF(C38="","",IFERROR(AVERAGEIFS('Video Log'!U:U,'Video Log'!E:E,A38),""))</f>
      </c>
      <c r="F38" s="4">
        <f>IF(C38="","",IF(C38=MAX(C$37:C$40),"★ Best",""))</f>
      </c>
      <c r="G38" s="4">
        <f>IF(C38="","",REPT("█",ROUND(C38/MAX(C$37:C$40)*20,0)))</f>
      </c>
    </row>
    <row r="39" spans="1:7" x14ac:dyDescent="0.25">
      <c r="A39" s="4">
        <f>Settings!F7&amp;""</f>
      </c>
      <c r="B39" s="12">
        <f>IF(A39="","",COUNTIFS('Video Log'!E:E,A39,'Video Log'!H:H,"&gt;=0"))</f>
      </c>
      <c r="C39" s="12">
        <f>IF(SUM(B39)=0,"",AVERAGEIFS('Video Log'!H:H,'Video Log'!E:E,A39))</f>
      </c>
      <c r="D39" s="15">
        <f>IF(C39="","",COUNTIFS('Video Log'!E:E,A39,'Video Log'!T:T,"*Winner"))</f>
      </c>
      <c r="E39" s="11">
        <f>IF(C39="","",IFERROR(AVERAGEIFS('Video Log'!U:U,'Video Log'!E:E,A39),""))</f>
      </c>
      <c r="F39" s="4">
        <f>IF(C39="","",IF(C39=MAX(C$37:C$40),"★ Best",""))</f>
      </c>
      <c r="G39" s="4">
        <f>IF(C39="","",REPT("█",ROUND(C39/MAX(C$37:C$40)*20,0)))</f>
      </c>
    </row>
    <row r="40" spans="1:7" x14ac:dyDescent="0.25">
      <c r="A40" s="4">
        <f>Settings!F8&amp;""</f>
      </c>
      <c r="B40" s="12">
        <f>IF(A40="","",COUNTIFS('Video Log'!E:E,A40,'Video Log'!H:H,"&gt;=0"))</f>
      </c>
      <c r="C40" s="12">
        <f>IF(SUM(B40)=0,"",AVERAGEIFS('Video Log'!H:H,'Video Log'!E:E,A40))</f>
      </c>
      <c r="D40" s="15">
        <f>IF(C40="","",COUNTIFS('Video Log'!E:E,A40,'Video Log'!T:T,"*Winner"))</f>
      </c>
      <c r="E40" s="11">
        <f>IF(C40="","",IFERROR(AVERAGEIFS('Video Log'!U:U,'Video Log'!E:E,A40),""))</f>
      </c>
      <c r="F40" s="4">
        <f>IF(C40="","",IF(C40=MAX(C$37:C$40),"★ Best",""))</f>
      </c>
      <c r="G40" s="4">
        <f>IF(C40="","",REPT("█",ROUND(C40/MAX(C$37:C$40)*20,0)))</f>
      </c>
    </row>
    <row r="42" spans="1:7" x14ac:dyDescent="0.25">
      <c r="A42" s="4" t="s">
        <v>280</v>
      </c>
      <c r="B42" s="12" t="s">
        <v>277</v>
      </c>
      <c r="C42" s="12" t="s">
        <v>263</v>
      </c>
      <c r="D42" s="15" t="s">
        <v>264</v>
      </c>
      <c r="E42" s="11" t="s">
        <v>227</v>
      </c>
      <c r="F42" s="4" t="s">
        <v>265</v>
      </c>
      <c r="G42" s="4" t="s">
        <v>266</v>
      </c>
    </row>
    <row r="43" spans="1:7" x14ac:dyDescent="0.25">
      <c r="A43" s="4">
        <f>Settings!H5&amp;""</f>
      </c>
      <c r="B43" s="12">
        <f>IF(A43="","",COUNTIFS('Video Log'!P:P,A43,'Video Log'!H:H,"&gt;=0"))</f>
      </c>
      <c r="C43" s="12">
        <f>IF(SUM(B43)=0,"",AVERAGEIFS('Video Log'!H:H,'Video Log'!P:P,A43))</f>
      </c>
      <c r="D43" s="15">
        <f>IF(C43="","",COUNTIFS('Video Log'!P:P,A43,'Video Log'!T:T,"*Winner"))</f>
      </c>
      <c r="E43" s="11">
        <f>IF(C43="","",IFERROR(AVERAGEIFS('Video Log'!U:U,'Video Log'!P:P,A43),""))</f>
      </c>
      <c r="F43" s="4">
        <f>IF(C43="","",IF(C43=MAX(C$43:C$47),"★ Best",""))</f>
      </c>
      <c r="G43" s="4">
        <f>IF(C43="","",REPT("█",ROUND(C43/MAX(C$43:C$47)*20,0)))</f>
      </c>
    </row>
    <row r="44" spans="1:7" x14ac:dyDescent="0.25">
      <c r="A44" s="4">
        <f>Settings!H6&amp;""</f>
      </c>
      <c r="B44" s="12">
        <f>IF(A44="","",COUNTIFS('Video Log'!P:P,A44,'Video Log'!H:H,"&gt;=0"))</f>
      </c>
      <c r="C44" s="12">
        <f>IF(SUM(B44)=0,"",AVERAGEIFS('Video Log'!H:H,'Video Log'!P:P,A44))</f>
      </c>
      <c r="D44" s="15">
        <f>IF(C44="","",COUNTIFS('Video Log'!P:P,A44,'Video Log'!T:T,"*Winner"))</f>
      </c>
      <c r="E44" s="11">
        <f>IF(C44="","",IFERROR(AVERAGEIFS('Video Log'!U:U,'Video Log'!P:P,A44),""))</f>
      </c>
      <c r="F44" s="4">
        <f>IF(C44="","",IF(C44=MAX(C$43:C$47),"★ Best",""))</f>
      </c>
      <c r="G44" s="4">
        <f>IF(C44="","",REPT("█",ROUND(C44/MAX(C$43:C$47)*20,0)))</f>
      </c>
    </row>
    <row r="45" spans="1:7" x14ac:dyDescent="0.25">
      <c r="A45" s="4">
        <f>Settings!H7&amp;""</f>
      </c>
      <c r="B45" s="12">
        <f>IF(A45="","",COUNTIFS('Video Log'!P:P,A45,'Video Log'!H:H,"&gt;=0"))</f>
      </c>
      <c r="C45" s="12">
        <f>IF(SUM(B45)=0,"",AVERAGEIFS('Video Log'!H:H,'Video Log'!P:P,A45))</f>
      </c>
      <c r="D45" s="15">
        <f>IF(C45="","",COUNTIFS('Video Log'!P:P,A45,'Video Log'!T:T,"*Winner"))</f>
      </c>
      <c r="E45" s="11">
        <f>IF(C45="","",IFERROR(AVERAGEIFS('Video Log'!U:U,'Video Log'!P:P,A45),""))</f>
      </c>
      <c r="F45" s="4">
        <f>IF(C45="","",IF(C45=MAX(C$43:C$47),"★ Best",""))</f>
      </c>
      <c r="G45" s="4">
        <f>IF(C45="","",REPT("█",ROUND(C45/MAX(C$43:C$47)*20,0)))</f>
      </c>
    </row>
    <row r="46" spans="1:7" x14ac:dyDescent="0.25">
      <c r="A46" s="4">
        <f>Settings!H8&amp;""</f>
      </c>
      <c r="B46" s="12">
        <f>IF(A46="","",COUNTIFS('Video Log'!P:P,A46,'Video Log'!H:H,"&gt;=0"))</f>
      </c>
      <c r="C46" s="12">
        <f>IF(SUM(B46)=0,"",AVERAGEIFS('Video Log'!H:H,'Video Log'!P:P,A46))</f>
      </c>
      <c r="D46" s="15">
        <f>IF(C46="","",COUNTIFS('Video Log'!P:P,A46,'Video Log'!T:T,"*Winner"))</f>
      </c>
      <c r="E46" s="11">
        <f>IF(C46="","",IFERROR(AVERAGEIFS('Video Log'!U:U,'Video Log'!P:P,A46),""))</f>
      </c>
      <c r="F46" s="4">
        <f>IF(C46="","",IF(C46=MAX(C$43:C$47),"★ Best",""))</f>
      </c>
      <c r="G46" s="4">
        <f>IF(C46="","",REPT("█",ROUND(C46/MAX(C$43:C$47)*20,0)))</f>
      </c>
    </row>
    <row r="47" spans="1:7" x14ac:dyDescent="0.25">
      <c r="A47" s="4">
        <f>Settings!H9&amp;""</f>
      </c>
      <c r="B47" s="12">
        <f>IF(A47="","",COUNTIFS('Video Log'!P:P,A47,'Video Log'!H:H,"&gt;=0"))</f>
      </c>
      <c r="C47" s="12">
        <f>IF(SUM(B47)=0,"",AVERAGEIFS('Video Log'!H:H,'Video Log'!P:P,A47))</f>
      </c>
      <c r="D47" s="15">
        <f>IF(C47="","",COUNTIFS('Video Log'!P:P,A47,'Video Log'!T:T,"*Winner"))</f>
      </c>
      <c r="E47" s="11">
        <f>IF(C47="","",IFERROR(AVERAGEIFS('Video Log'!U:U,'Video Log'!P:P,A47),""))</f>
      </c>
      <c r="F47" s="4">
        <f>IF(C47="","",IF(C47=MAX(C$43:C$47),"★ Best",""))</f>
      </c>
      <c r="G47" s="4">
        <f>IF(C47="","",REPT("█",ROUND(C47/MAX(C$43:C$47)*20,0)))</f>
      </c>
    </row>
    <row r="49" spans="1:8" x14ac:dyDescent="0.25">
      <c r="A49" s="4" t="s">
        <v>281</v>
      </c>
      <c r="B49" s="12" t="s">
        <v>223</v>
      </c>
      <c r="C49" s="12" t="s">
        <v>282</v>
      </c>
      <c r="D49" s="15" t="s">
        <v>47</v>
      </c>
      <c r="E49" s="11" t="s">
        <v>49</v>
      </c>
      <c r="F49" s="4" t="s">
        <v>5</v>
      </c>
      <c r="G49" s="4" t="s">
        <v>5</v>
      </c>
      <c r="H49" s="4" t="s">
        <v>283</v>
      </c>
    </row>
    <row r="50" spans="1:8" x14ac:dyDescent="0.25">
      <c r="A50" s="4">
        <f>IF(H50="","",INDEX('Video Log'!B:B,H50))</f>
      </c>
      <c r="B50" s="12">
        <f>IF(H50="","",INDEX('Video Log'!E:E,H50))</f>
      </c>
      <c r="C50" s="12">
        <f>IF(H50="","",INDEX('Video Log'!H:H,H50))</f>
      </c>
      <c r="D50" s="20">
        <f>IF(H50="","",INDEX('Video Log'!S:S,H50))</f>
      </c>
      <c r="E50" s="11">
        <f>IF(H50="","",INDEX('Video Log'!T:T,H50))</f>
      </c>
      <c r="F50" s="4"/>
      <c r="G50" s="4"/>
      <c r="H50" s="4">
        <f>IFERROR(MATCH(LARGE('Video Log'!W:W,1),'Video Log'!W:W,0),"")</f>
      </c>
    </row>
    <row r="51" spans="1:8" x14ac:dyDescent="0.25">
      <c r="A51" s="4">
        <f>IF(H51="","",INDEX('Video Log'!B:B,H51))</f>
      </c>
      <c r="B51" s="12">
        <f>IF(H51="","",INDEX('Video Log'!E:E,H51))</f>
      </c>
      <c r="C51" s="12">
        <f>IF(H51="","",INDEX('Video Log'!H:H,H51))</f>
      </c>
      <c r="D51" s="20">
        <f>IF(H51="","",INDEX('Video Log'!S:S,H51))</f>
      </c>
      <c r="E51" s="11">
        <f>IF(H51="","",INDEX('Video Log'!T:T,H51))</f>
      </c>
      <c r="F51" s="4"/>
      <c r="G51" s="4"/>
      <c r="H51" s="4">
        <f>IFERROR(MATCH(LARGE('Video Log'!W:W,2),'Video Log'!W:W,0),"")</f>
      </c>
    </row>
    <row r="52" spans="1:8" x14ac:dyDescent="0.25">
      <c r="A52" s="4">
        <f>IF(H52="","",INDEX('Video Log'!B:B,H52))</f>
      </c>
      <c r="B52" s="12">
        <f>IF(H52="","",INDEX('Video Log'!E:E,H52))</f>
      </c>
      <c r="C52" s="12">
        <f>IF(H52="","",INDEX('Video Log'!H:H,H52))</f>
      </c>
      <c r="D52" s="20">
        <f>IF(H52="","",INDEX('Video Log'!S:S,H52))</f>
      </c>
      <c r="E52" s="11">
        <f>IF(H52="","",INDEX('Video Log'!T:T,H52))</f>
      </c>
      <c r="F52" s="4"/>
      <c r="G52" s="4"/>
      <c r="H52" s="4">
        <f>IFERROR(MATCH(LARGE('Video Log'!W:W,3),'Video Log'!W:W,0),"")</f>
      </c>
    </row>
    <row r="53" spans="1:8" x14ac:dyDescent="0.25">
      <c r="A53" s="4">
        <f>IF(H53="","",INDEX('Video Log'!B:B,H53))</f>
      </c>
      <c r="B53" s="12">
        <f>IF(H53="","",INDEX('Video Log'!E:E,H53))</f>
      </c>
      <c r="C53" s="12">
        <f>IF(H53="","",INDEX('Video Log'!H:H,H53))</f>
      </c>
      <c r="D53" s="20">
        <f>IF(H53="","",INDEX('Video Log'!S:S,H53))</f>
      </c>
      <c r="E53" s="11">
        <f>IF(H53="","",INDEX('Video Log'!T:T,H53))</f>
      </c>
      <c r="F53" s="4"/>
      <c r="G53" s="4"/>
      <c r="H53" s="4">
        <f>IFERROR(MATCH(LARGE('Video Log'!W:W,4),'Video Log'!W:W,0),"")</f>
      </c>
    </row>
    <row r="54" spans="1:8" x14ac:dyDescent="0.25">
      <c r="A54" s="4">
        <f>IF(H54="","",INDEX('Video Log'!B:B,H54))</f>
      </c>
      <c r="B54" s="12">
        <f>IF(H54="","",INDEX('Video Log'!E:E,H54))</f>
      </c>
      <c r="C54" s="12">
        <f>IF(H54="","",INDEX('Video Log'!H:H,H54))</f>
      </c>
      <c r="D54" s="20">
        <f>IF(H54="","",INDEX('Video Log'!S:S,H54))</f>
      </c>
      <c r="E54" s="11">
        <f>IF(H54="","",INDEX('Video Log'!T:T,H54))</f>
      </c>
      <c r="F54" s="4"/>
      <c r="G54" s="4"/>
      <c r="H54" s="4">
        <f>IFERROR(MATCH(LARGE('Video Log'!W:W,5),'Video Log'!W:W,0),"")</f>
      </c>
    </row>
    <row r="56" spans="1:9" x14ac:dyDescent="0.25">
      <c r="A56" s="4" t="s">
        <v>284</v>
      </c>
      <c r="B56" s="12"/>
      <c r="C56" s="12">
        <f>Settings!F5&amp;""</f>
      </c>
      <c r="D56" s="15"/>
      <c r="E56" s="11">
        <f>Settings!F6&amp;""</f>
      </c>
      <c r="F56" s="4"/>
      <c r="G56" s="4">
        <f>Settings!F7&amp;""</f>
      </c>
      <c r="H56" s="4"/>
      <c r="I56" s="4">
        <f>Settings!F8&amp;""</f>
      </c>
    </row>
    <row r="57" spans="1:12" x14ac:dyDescent="0.25">
      <c r="A57" s="4" t="s">
        <v>222</v>
      </c>
      <c r="B57" s="12" t="s">
        <v>285</v>
      </c>
      <c r="C57" s="12" t="s">
        <v>244</v>
      </c>
      <c r="D57" s="15" t="s">
        <v>286</v>
      </c>
      <c r="E57" s="11" t="s">
        <v>247</v>
      </c>
      <c r="F57" s="4" t="s">
        <v>287</v>
      </c>
      <c r="G57" s="4" t="s">
        <v>250</v>
      </c>
      <c r="H57" s="4" t="s">
        <v>288</v>
      </c>
      <c r="I57" s="4" t="s">
        <v>253</v>
      </c>
      <c r="J57" s="4" t="s">
        <v>289</v>
      </c>
      <c r="K57" s="4" t="s">
        <v>290</v>
      </c>
      <c r="L57" s="4" t="s">
        <v>283</v>
      </c>
    </row>
    <row r="58" spans="1:12" x14ac:dyDescent="0.25">
      <c r="A58" s="4">
        <f>IF(L58="","",INDEX('Video Log'!B:B,L58))</f>
      </c>
      <c r="B58" s="21">
        <f>IF(A58="","",SUMIFS('Video Log'!AA:AA,'Video Log'!B:B,A58))</f>
      </c>
      <c r="C58" s="12">
        <f>IF(COUNTIF('Video Log'!Z:Z,$A58&amp;"|"&amp;C$56),SUMIFS('Video Log'!H:H,'Video Log'!Z:Z,$A58&amp;"|"&amp;C$56),"")</f>
      </c>
      <c r="D58" s="15">
        <f>IF(C58="",IF($A58="","","—"),INDEX('Video Log'!T:T,MATCH($A58&amp;"|"&amp;C$56,'Video Log'!Z:Z,0)))</f>
      </c>
      <c r="E58" s="12">
        <f>IF(COUNTIF('Video Log'!Z:Z,$A58&amp;"|"&amp;E$56),SUMIFS('Video Log'!H:H,'Video Log'!Z:Z,$A58&amp;"|"&amp;E$56),"")</f>
      </c>
      <c r="F58" s="4">
        <f>IF(E58="",IF($A58="","","—"),INDEX('Video Log'!T:T,MATCH($A58&amp;"|"&amp;E$56,'Video Log'!Z:Z,0)))</f>
      </c>
      <c r="G58" s="12">
        <f>IF(COUNTIF('Video Log'!Z:Z,$A58&amp;"|"&amp;G$56),SUMIFS('Video Log'!H:H,'Video Log'!Z:Z,$A58&amp;"|"&amp;G$56),"")</f>
      </c>
      <c r="H58" s="4">
        <f>IF(G58="",IF($A58="","","—"),INDEX('Video Log'!T:T,MATCH($A58&amp;"|"&amp;G$56,'Video Log'!Z:Z,0)))</f>
      </c>
      <c r="I58" s="12">
        <f>IF(COUNTIF('Video Log'!Z:Z,$A58&amp;"|"&amp;I$56),SUMIFS('Video Log'!H:H,'Video Log'!Z:Z,$A58&amp;"|"&amp;I$56),"")</f>
      </c>
      <c r="J58" s="4">
        <f>IF(I58="",IF($A58="","","—"),INDEX('Video Log'!T:T,MATCH($A58&amp;"|"&amp;I$56,'Video Log'!Z:Z,0)))</f>
      </c>
      <c r="K58" s="4">
        <f>IF(A58="","",IFERROR(INDEX(Settings!$F$5:$F$8,(MATCH(MAX(C58:I58),C58:I58,0)+1)/2),"—"))</f>
      </c>
      <c r="L58" s="4">
        <f>IFERROR(LARGE('Video Log'!Y:Y,1),"")</f>
      </c>
    </row>
    <row r="59" spans="1:12" x14ac:dyDescent="0.25">
      <c r="A59" s="4">
        <f>IF(L59="","",INDEX('Video Log'!B:B,L59))</f>
      </c>
      <c r="B59" s="21">
        <f>IF(A59="","",SUMIFS('Video Log'!AA:AA,'Video Log'!B:B,A59))</f>
      </c>
      <c r="C59" s="12">
        <f>IF(COUNTIF('Video Log'!Z:Z,$A59&amp;"|"&amp;C$56),SUMIFS('Video Log'!H:H,'Video Log'!Z:Z,$A59&amp;"|"&amp;C$56),"")</f>
      </c>
      <c r="D59" s="15">
        <f>IF(C59="",IF($A59="","","—"),INDEX('Video Log'!T:T,MATCH($A59&amp;"|"&amp;C$56,'Video Log'!Z:Z,0)))</f>
      </c>
      <c r="E59" s="12">
        <f>IF(COUNTIF('Video Log'!Z:Z,$A59&amp;"|"&amp;E$56),SUMIFS('Video Log'!H:H,'Video Log'!Z:Z,$A59&amp;"|"&amp;E$56),"")</f>
      </c>
      <c r="F59" s="4">
        <f>IF(E59="",IF($A59="","","—"),INDEX('Video Log'!T:T,MATCH($A59&amp;"|"&amp;E$56,'Video Log'!Z:Z,0)))</f>
      </c>
      <c r="G59" s="12">
        <f>IF(COUNTIF('Video Log'!Z:Z,$A59&amp;"|"&amp;G$56),SUMIFS('Video Log'!H:H,'Video Log'!Z:Z,$A59&amp;"|"&amp;G$56),"")</f>
      </c>
      <c r="H59" s="4">
        <f>IF(G59="",IF($A59="","","—"),INDEX('Video Log'!T:T,MATCH($A59&amp;"|"&amp;G$56,'Video Log'!Z:Z,0)))</f>
      </c>
      <c r="I59" s="12">
        <f>IF(COUNTIF('Video Log'!Z:Z,$A59&amp;"|"&amp;I$56),SUMIFS('Video Log'!H:H,'Video Log'!Z:Z,$A59&amp;"|"&amp;I$56),"")</f>
      </c>
      <c r="J59" s="4">
        <f>IF(I59="",IF($A59="","","—"),INDEX('Video Log'!T:T,MATCH($A59&amp;"|"&amp;I$56,'Video Log'!Z:Z,0)))</f>
      </c>
      <c r="K59" s="4">
        <f>IF(A59="","",IFERROR(INDEX(Settings!$F$5:$F$8,(MATCH(MAX(C59:I59),C59:I59,0)+1)/2),"—"))</f>
      </c>
      <c r="L59" s="4">
        <f>IFERROR(LARGE('Video Log'!Y:Y,2),"")</f>
      </c>
    </row>
    <row r="60" spans="1:12" x14ac:dyDescent="0.25">
      <c r="A60" s="4">
        <f>IF(L60="","",INDEX('Video Log'!B:B,L60))</f>
      </c>
      <c r="B60" s="21">
        <f>IF(A60="","",SUMIFS('Video Log'!AA:AA,'Video Log'!B:B,A60))</f>
      </c>
      <c r="C60" s="12">
        <f>IF(COUNTIF('Video Log'!Z:Z,$A60&amp;"|"&amp;C$56),SUMIFS('Video Log'!H:H,'Video Log'!Z:Z,$A60&amp;"|"&amp;C$56),"")</f>
      </c>
      <c r="D60" s="15">
        <f>IF(C60="",IF($A60="","","—"),INDEX('Video Log'!T:T,MATCH($A60&amp;"|"&amp;C$56,'Video Log'!Z:Z,0)))</f>
      </c>
      <c r="E60" s="12">
        <f>IF(COUNTIF('Video Log'!Z:Z,$A60&amp;"|"&amp;E$56),SUMIFS('Video Log'!H:H,'Video Log'!Z:Z,$A60&amp;"|"&amp;E$56),"")</f>
      </c>
      <c r="F60" s="4">
        <f>IF(E60="",IF($A60="","","—"),INDEX('Video Log'!T:T,MATCH($A60&amp;"|"&amp;E$56,'Video Log'!Z:Z,0)))</f>
      </c>
      <c r="G60" s="12">
        <f>IF(COUNTIF('Video Log'!Z:Z,$A60&amp;"|"&amp;G$56),SUMIFS('Video Log'!H:H,'Video Log'!Z:Z,$A60&amp;"|"&amp;G$56),"")</f>
      </c>
      <c r="H60" s="4">
        <f>IF(G60="",IF($A60="","","—"),INDEX('Video Log'!T:T,MATCH($A60&amp;"|"&amp;G$56,'Video Log'!Z:Z,0)))</f>
      </c>
      <c r="I60" s="12">
        <f>IF(COUNTIF('Video Log'!Z:Z,$A60&amp;"|"&amp;I$56),SUMIFS('Video Log'!H:H,'Video Log'!Z:Z,$A60&amp;"|"&amp;I$56),"")</f>
      </c>
      <c r="J60" s="4">
        <f>IF(I60="",IF($A60="","","—"),INDEX('Video Log'!T:T,MATCH($A60&amp;"|"&amp;I$56,'Video Log'!Z:Z,0)))</f>
      </c>
      <c r="K60" s="4">
        <f>IF(A60="","",IFERROR(INDEX(Settings!$F$5:$F$8,(MATCH(MAX(C60:I60),C60:I60,0)+1)/2),"—"))</f>
      </c>
      <c r="L60" s="4">
        <f>IFERROR(LARGE('Video Log'!Y:Y,3),"")</f>
      </c>
    </row>
    <row r="61" spans="1:12" x14ac:dyDescent="0.25">
      <c r="A61" s="4">
        <f>IF(L61="","",INDEX('Video Log'!B:B,L61))</f>
      </c>
      <c r="B61" s="21">
        <f>IF(A61="","",SUMIFS('Video Log'!AA:AA,'Video Log'!B:B,A61))</f>
      </c>
      <c r="C61" s="12">
        <f>IF(COUNTIF('Video Log'!Z:Z,$A61&amp;"|"&amp;C$56),SUMIFS('Video Log'!H:H,'Video Log'!Z:Z,$A61&amp;"|"&amp;C$56),"")</f>
      </c>
      <c r="D61" s="15">
        <f>IF(C61="",IF($A61="","","—"),INDEX('Video Log'!T:T,MATCH($A61&amp;"|"&amp;C$56,'Video Log'!Z:Z,0)))</f>
      </c>
      <c r="E61" s="12">
        <f>IF(COUNTIF('Video Log'!Z:Z,$A61&amp;"|"&amp;E$56),SUMIFS('Video Log'!H:H,'Video Log'!Z:Z,$A61&amp;"|"&amp;E$56),"")</f>
      </c>
      <c r="F61" s="4">
        <f>IF(E61="",IF($A61="","","—"),INDEX('Video Log'!T:T,MATCH($A61&amp;"|"&amp;E$56,'Video Log'!Z:Z,0)))</f>
      </c>
      <c r="G61" s="12">
        <f>IF(COUNTIF('Video Log'!Z:Z,$A61&amp;"|"&amp;G$56),SUMIFS('Video Log'!H:H,'Video Log'!Z:Z,$A61&amp;"|"&amp;G$56),"")</f>
      </c>
      <c r="H61" s="4">
        <f>IF(G61="",IF($A61="","","—"),INDEX('Video Log'!T:T,MATCH($A61&amp;"|"&amp;G$56,'Video Log'!Z:Z,0)))</f>
      </c>
      <c r="I61" s="12">
        <f>IF(COUNTIF('Video Log'!Z:Z,$A61&amp;"|"&amp;I$56),SUMIFS('Video Log'!H:H,'Video Log'!Z:Z,$A61&amp;"|"&amp;I$56),"")</f>
      </c>
      <c r="J61" s="4">
        <f>IF(I61="",IF($A61="","","—"),INDEX('Video Log'!T:T,MATCH($A61&amp;"|"&amp;I$56,'Video Log'!Z:Z,0)))</f>
      </c>
      <c r="K61" s="4">
        <f>IF(A61="","",IFERROR(INDEX(Settings!$F$5:$F$8,(MATCH(MAX(C61:I61),C61:I61,0)+1)/2),"—"))</f>
      </c>
      <c r="L61" s="4">
        <f>IFERROR(LARGE('Video Log'!Y:Y,4),"")</f>
      </c>
    </row>
    <row r="62" spans="1:12" x14ac:dyDescent="0.25">
      <c r="A62" s="4">
        <f>IF(L62="","",INDEX('Video Log'!B:B,L62))</f>
      </c>
      <c r="B62" s="21">
        <f>IF(A62="","",SUMIFS('Video Log'!AA:AA,'Video Log'!B:B,A62))</f>
      </c>
      <c r="C62" s="12">
        <f>IF(COUNTIF('Video Log'!Z:Z,$A62&amp;"|"&amp;C$56),SUMIFS('Video Log'!H:H,'Video Log'!Z:Z,$A62&amp;"|"&amp;C$56),"")</f>
      </c>
      <c r="D62" s="15">
        <f>IF(C62="",IF($A62="","","—"),INDEX('Video Log'!T:T,MATCH($A62&amp;"|"&amp;C$56,'Video Log'!Z:Z,0)))</f>
      </c>
      <c r="E62" s="12">
        <f>IF(COUNTIF('Video Log'!Z:Z,$A62&amp;"|"&amp;E$56),SUMIFS('Video Log'!H:H,'Video Log'!Z:Z,$A62&amp;"|"&amp;E$56),"")</f>
      </c>
      <c r="F62" s="4">
        <f>IF(E62="",IF($A62="","","—"),INDEX('Video Log'!T:T,MATCH($A62&amp;"|"&amp;E$56,'Video Log'!Z:Z,0)))</f>
      </c>
      <c r="G62" s="12">
        <f>IF(COUNTIF('Video Log'!Z:Z,$A62&amp;"|"&amp;G$56),SUMIFS('Video Log'!H:H,'Video Log'!Z:Z,$A62&amp;"|"&amp;G$56),"")</f>
      </c>
      <c r="H62" s="4">
        <f>IF(G62="",IF($A62="","","—"),INDEX('Video Log'!T:T,MATCH($A62&amp;"|"&amp;G$56,'Video Log'!Z:Z,0)))</f>
      </c>
      <c r="I62" s="12">
        <f>IF(COUNTIF('Video Log'!Z:Z,$A62&amp;"|"&amp;I$56),SUMIFS('Video Log'!H:H,'Video Log'!Z:Z,$A62&amp;"|"&amp;I$56),"")</f>
      </c>
      <c r="J62" s="4">
        <f>IF(I62="",IF($A62="","","—"),INDEX('Video Log'!T:T,MATCH($A62&amp;"|"&amp;I$56,'Video Log'!Z:Z,0)))</f>
      </c>
      <c r="K62" s="4">
        <f>IF(A62="","",IFERROR(INDEX(Settings!$F$5:$F$8,(MATCH(MAX(C62:I62),C62:I62,0)+1)/2),"—"))</f>
      </c>
      <c r="L62" s="4">
        <f>IFERROR(LARGE('Video Log'!Y:Y,5),"")</f>
      </c>
    </row>
    <row r="63" spans="1:12" x14ac:dyDescent="0.25">
      <c r="A63" s="4">
        <f>IF(L63="","",INDEX('Video Log'!B:B,L63))</f>
      </c>
      <c r="B63" s="21">
        <f>IF(A63="","",SUMIFS('Video Log'!AA:AA,'Video Log'!B:B,A63))</f>
      </c>
      <c r="C63" s="12">
        <f>IF(COUNTIF('Video Log'!Z:Z,$A63&amp;"|"&amp;C$56),SUMIFS('Video Log'!H:H,'Video Log'!Z:Z,$A63&amp;"|"&amp;C$56),"")</f>
      </c>
      <c r="D63" s="15">
        <f>IF(C63="",IF($A63="","","—"),INDEX('Video Log'!T:T,MATCH($A63&amp;"|"&amp;C$56,'Video Log'!Z:Z,0)))</f>
      </c>
      <c r="E63" s="12">
        <f>IF(COUNTIF('Video Log'!Z:Z,$A63&amp;"|"&amp;E$56),SUMIFS('Video Log'!H:H,'Video Log'!Z:Z,$A63&amp;"|"&amp;E$56),"")</f>
      </c>
      <c r="F63" s="4">
        <f>IF(E63="",IF($A63="","","—"),INDEX('Video Log'!T:T,MATCH($A63&amp;"|"&amp;E$56,'Video Log'!Z:Z,0)))</f>
      </c>
      <c r="G63" s="12">
        <f>IF(COUNTIF('Video Log'!Z:Z,$A63&amp;"|"&amp;G$56),SUMIFS('Video Log'!H:H,'Video Log'!Z:Z,$A63&amp;"|"&amp;G$56),"")</f>
      </c>
      <c r="H63" s="4">
        <f>IF(G63="",IF($A63="","","—"),INDEX('Video Log'!T:T,MATCH($A63&amp;"|"&amp;G$56,'Video Log'!Z:Z,0)))</f>
      </c>
      <c r="I63" s="12">
        <f>IF(COUNTIF('Video Log'!Z:Z,$A63&amp;"|"&amp;I$56),SUMIFS('Video Log'!H:H,'Video Log'!Z:Z,$A63&amp;"|"&amp;I$56),"")</f>
      </c>
      <c r="J63" s="4">
        <f>IF(I63="",IF($A63="","","—"),INDEX('Video Log'!T:T,MATCH($A63&amp;"|"&amp;I$56,'Video Log'!Z:Z,0)))</f>
      </c>
      <c r="K63" s="4">
        <f>IF(A63="","",IFERROR(INDEX(Settings!$F$5:$F$8,(MATCH(MAX(C63:I63),C63:I63,0)+1)/2),"—"))</f>
      </c>
      <c r="L63" s="4">
        <f>IFERROR(LARGE('Video Log'!Y:Y,6),"")</f>
      </c>
    </row>
    <row r="64" spans="1:12" x14ac:dyDescent="0.25">
      <c r="A64" s="4">
        <f>IF(L64="","",INDEX('Video Log'!B:B,L64))</f>
      </c>
      <c r="B64" s="21">
        <f>IF(A64="","",SUMIFS('Video Log'!AA:AA,'Video Log'!B:B,A64))</f>
      </c>
      <c r="C64" s="12">
        <f>IF(COUNTIF('Video Log'!Z:Z,$A64&amp;"|"&amp;C$56),SUMIFS('Video Log'!H:H,'Video Log'!Z:Z,$A64&amp;"|"&amp;C$56),"")</f>
      </c>
      <c r="D64" s="15">
        <f>IF(C64="",IF($A64="","","—"),INDEX('Video Log'!T:T,MATCH($A64&amp;"|"&amp;C$56,'Video Log'!Z:Z,0)))</f>
      </c>
      <c r="E64" s="12">
        <f>IF(COUNTIF('Video Log'!Z:Z,$A64&amp;"|"&amp;E$56),SUMIFS('Video Log'!H:H,'Video Log'!Z:Z,$A64&amp;"|"&amp;E$56),"")</f>
      </c>
      <c r="F64" s="4">
        <f>IF(E64="",IF($A64="","","—"),INDEX('Video Log'!T:T,MATCH($A64&amp;"|"&amp;E$56,'Video Log'!Z:Z,0)))</f>
      </c>
      <c r="G64" s="12">
        <f>IF(COUNTIF('Video Log'!Z:Z,$A64&amp;"|"&amp;G$56),SUMIFS('Video Log'!H:H,'Video Log'!Z:Z,$A64&amp;"|"&amp;G$56),"")</f>
      </c>
      <c r="H64" s="4">
        <f>IF(G64="",IF($A64="","","—"),INDEX('Video Log'!T:T,MATCH($A64&amp;"|"&amp;G$56,'Video Log'!Z:Z,0)))</f>
      </c>
      <c r="I64" s="12">
        <f>IF(COUNTIF('Video Log'!Z:Z,$A64&amp;"|"&amp;I$56),SUMIFS('Video Log'!H:H,'Video Log'!Z:Z,$A64&amp;"|"&amp;I$56),"")</f>
      </c>
      <c r="J64" s="4">
        <f>IF(I64="",IF($A64="","","—"),INDEX('Video Log'!T:T,MATCH($A64&amp;"|"&amp;I$56,'Video Log'!Z:Z,0)))</f>
      </c>
      <c r="K64" s="4">
        <f>IF(A64="","",IFERROR(INDEX(Settings!$F$5:$F$8,(MATCH(MAX(C64:I64),C64:I64,0)+1)/2),"—"))</f>
      </c>
      <c r="L64" s="4">
        <f>IFERROR(LARGE('Video Log'!Y:Y,7),"")</f>
      </c>
    </row>
    <row r="65" spans="1:12" x14ac:dyDescent="0.25">
      <c r="A65" s="4">
        <f>IF(L65="","",INDEX('Video Log'!B:B,L65))</f>
      </c>
      <c r="B65" s="21">
        <f>IF(A65="","",SUMIFS('Video Log'!AA:AA,'Video Log'!B:B,A65))</f>
      </c>
      <c r="C65" s="12">
        <f>IF(COUNTIF('Video Log'!Z:Z,$A65&amp;"|"&amp;C$56),SUMIFS('Video Log'!H:H,'Video Log'!Z:Z,$A65&amp;"|"&amp;C$56),"")</f>
      </c>
      <c r="D65" s="15">
        <f>IF(C65="",IF($A65="","","—"),INDEX('Video Log'!T:T,MATCH($A65&amp;"|"&amp;C$56,'Video Log'!Z:Z,0)))</f>
      </c>
      <c r="E65" s="12">
        <f>IF(COUNTIF('Video Log'!Z:Z,$A65&amp;"|"&amp;E$56),SUMIFS('Video Log'!H:H,'Video Log'!Z:Z,$A65&amp;"|"&amp;E$56),"")</f>
      </c>
      <c r="F65" s="4">
        <f>IF(E65="",IF($A65="","","—"),INDEX('Video Log'!T:T,MATCH($A65&amp;"|"&amp;E$56,'Video Log'!Z:Z,0)))</f>
      </c>
      <c r="G65" s="12">
        <f>IF(COUNTIF('Video Log'!Z:Z,$A65&amp;"|"&amp;G$56),SUMIFS('Video Log'!H:H,'Video Log'!Z:Z,$A65&amp;"|"&amp;G$56),"")</f>
      </c>
      <c r="H65" s="4">
        <f>IF(G65="",IF($A65="","","—"),INDEX('Video Log'!T:T,MATCH($A65&amp;"|"&amp;G$56,'Video Log'!Z:Z,0)))</f>
      </c>
      <c r="I65" s="12">
        <f>IF(COUNTIF('Video Log'!Z:Z,$A65&amp;"|"&amp;I$56),SUMIFS('Video Log'!H:H,'Video Log'!Z:Z,$A65&amp;"|"&amp;I$56),"")</f>
      </c>
      <c r="J65" s="4">
        <f>IF(I65="",IF($A65="","","—"),INDEX('Video Log'!T:T,MATCH($A65&amp;"|"&amp;I$56,'Video Log'!Z:Z,0)))</f>
      </c>
      <c r="K65" s="4">
        <f>IF(A65="","",IFERROR(INDEX(Settings!$F$5:$F$8,(MATCH(MAX(C65:I65),C65:I65,0)+1)/2),"—"))</f>
      </c>
      <c r="L65" s="4">
        <f>IFERROR(LARGE('Video Log'!Y:Y,8),"")</f>
      </c>
    </row>
    <row r="66" spans="1:12" x14ac:dyDescent="0.25">
      <c r="A66" s="4">
        <f>IF(L66="","",INDEX('Video Log'!B:B,L66))</f>
      </c>
      <c r="B66" s="21">
        <f>IF(A66="","",SUMIFS('Video Log'!AA:AA,'Video Log'!B:B,A66))</f>
      </c>
      <c r="C66" s="12">
        <f>IF(COUNTIF('Video Log'!Z:Z,$A66&amp;"|"&amp;C$56),SUMIFS('Video Log'!H:H,'Video Log'!Z:Z,$A66&amp;"|"&amp;C$56),"")</f>
      </c>
      <c r="D66" s="15">
        <f>IF(C66="",IF($A66="","","—"),INDEX('Video Log'!T:T,MATCH($A66&amp;"|"&amp;C$56,'Video Log'!Z:Z,0)))</f>
      </c>
      <c r="E66" s="12">
        <f>IF(COUNTIF('Video Log'!Z:Z,$A66&amp;"|"&amp;E$56),SUMIFS('Video Log'!H:H,'Video Log'!Z:Z,$A66&amp;"|"&amp;E$56),"")</f>
      </c>
      <c r="F66" s="4">
        <f>IF(E66="",IF($A66="","","—"),INDEX('Video Log'!T:T,MATCH($A66&amp;"|"&amp;E$56,'Video Log'!Z:Z,0)))</f>
      </c>
      <c r="G66" s="12">
        <f>IF(COUNTIF('Video Log'!Z:Z,$A66&amp;"|"&amp;G$56),SUMIFS('Video Log'!H:H,'Video Log'!Z:Z,$A66&amp;"|"&amp;G$56),"")</f>
      </c>
      <c r="H66" s="4">
        <f>IF(G66="",IF($A66="","","—"),INDEX('Video Log'!T:T,MATCH($A66&amp;"|"&amp;G$56,'Video Log'!Z:Z,0)))</f>
      </c>
      <c r="I66" s="12">
        <f>IF(COUNTIF('Video Log'!Z:Z,$A66&amp;"|"&amp;I$56),SUMIFS('Video Log'!H:H,'Video Log'!Z:Z,$A66&amp;"|"&amp;I$56),"")</f>
      </c>
      <c r="J66" s="4">
        <f>IF(I66="",IF($A66="","","—"),INDEX('Video Log'!T:T,MATCH($A66&amp;"|"&amp;I$56,'Video Log'!Z:Z,0)))</f>
      </c>
      <c r="K66" s="4">
        <f>IF(A66="","",IFERROR(INDEX(Settings!$F$5:$F$8,(MATCH(MAX(C66:I66),C66:I66,0)+1)/2),"—"))</f>
      </c>
      <c r="L66" s="4">
        <f>IFERROR(LARGE('Video Log'!Y:Y,9),"")</f>
      </c>
    </row>
    <row r="67" spans="1:12" x14ac:dyDescent="0.25">
      <c r="A67" s="4">
        <f>IF(L67="","",INDEX('Video Log'!B:B,L67))</f>
      </c>
      <c r="B67" s="21">
        <f>IF(A67="","",SUMIFS('Video Log'!AA:AA,'Video Log'!B:B,A67))</f>
      </c>
      <c r="C67" s="12">
        <f>IF(COUNTIF('Video Log'!Z:Z,$A67&amp;"|"&amp;C$56),SUMIFS('Video Log'!H:H,'Video Log'!Z:Z,$A67&amp;"|"&amp;C$56),"")</f>
      </c>
      <c r="D67" s="15">
        <f>IF(C67="",IF($A67="","","—"),INDEX('Video Log'!T:T,MATCH($A67&amp;"|"&amp;C$56,'Video Log'!Z:Z,0)))</f>
      </c>
      <c r="E67" s="12">
        <f>IF(COUNTIF('Video Log'!Z:Z,$A67&amp;"|"&amp;E$56),SUMIFS('Video Log'!H:H,'Video Log'!Z:Z,$A67&amp;"|"&amp;E$56),"")</f>
      </c>
      <c r="F67" s="4">
        <f>IF(E67="",IF($A67="","","—"),INDEX('Video Log'!T:T,MATCH($A67&amp;"|"&amp;E$56,'Video Log'!Z:Z,0)))</f>
      </c>
      <c r="G67" s="12">
        <f>IF(COUNTIF('Video Log'!Z:Z,$A67&amp;"|"&amp;G$56),SUMIFS('Video Log'!H:H,'Video Log'!Z:Z,$A67&amp;"|"&amp;G$56),"")</f>
      </c>
      <c r="H67" s="4">
        <f>IF(G67="",IF($A67="","","—"),INDEX('Video Log'!T:T,MATCH($A67&amp;"|"&amp;G$56,'Video Log'!Z:Z,0)))</f>
      </c>
      <c r="I67" s="12">
        <f>IF(COUNTIF('Video Log'!Z:Z,$A67&amp;"|"&amp;I$56),SUMIFS('Video Log'!H:H,'Video Log'!Z:Z,$A67&amp;"|"&amp;I$56),"")</f>
      </c>
      <c r="J67" s="4">
        <f>IF(I67="",IF($A67="","","—"),INDEX('Video Log'!T:T,MATCH($A67&amp;"|"&amp;I$56,'Video Log'!Z:Z,0)))</f>
      </c>
      <c r="K67" s="4">
        <f>IF(A67="","",IFERROR(INDEX(Settings!$F$5:$F$8,(MATCH(MAX(C67:I67),C67:I67,0)+1)/2),"—"))</f>
      </c>
      <c r="L67" s="4">
        <f>IFERROR(LARGE('Video Log'!Y:Y,10),"")</f>
      </c>
    </row>
    <row r="68" spans="1:12" x14ac:dyDescent="0.25">
      <c r="A68" s="4">
        <f>IF(L68="","",INDEX('Video Log'!B:B,L68))</f>
      </c>
      <c r="B68" s="21">
        <f>IF(A68="","",SUMIFS('Video Log'!AA:AA,'Video Log'!B:B,A68))</f>
      </c>
      <c r="C68" s="12">
        <f>IF(COUNTIF('Video Log'!Z:Z,$A68&amp;"|"&amp;C$56),SUMIFS('Video Log'!H:H,'Video Log'!Z:Z,$A68&amp;"|"&amp;C$56),"")</f>
      </c>
      <c r="D68" s="15">
        <f>IF(C68="",IF($A68="","","—"),INDEX('Video Log'!T:T,MATCH($A68&amp;"|"&amp;C$56,'Video Log'!Z:Z,0)))</f>
      </c>
      <c r="E68" s="12">
        <f>IF(COUNTIF('Video Log'!Z:Z,$A68&amp;"|"&amp;E$56),SUMIFS('Video Log'!H:H,'Video Log'!Z:Z,$A68&amp;"|"&amp;E$56),"")</f>
      </c>
      <c r="F68" s="4">
        <f>IF(E68="",IF($A68="","","—"),INDEX('Video Log'!T:T,MATCH($A68&amp;"|"&amp;E$56,'Video Log'!Z:Z,0)))</f>
      </c>
      <c r="G68" s="12">
        <f>IF(COUNTIF('Video Log'!Z:Z,$A68&amp;"|"&amp;G$56),SUMIFS('Video Log'!H:H,'Video Log'!Z:Z,$A68&amp;"|"&amp;G$56),"")</f>
      </c>
      <c r="H68" s="4">
        <f>IF(G68="",IF($A68="","","—"),INDEX('Video Log'!T:T,MATCH($A68&amp;"|"&amp;G$56,'Video Log'!Z:Z,0)))</f>
      </c>
      <c r="I68" s="12">
        <f>IF(COUNTIF('Video Log'!Z:Z,$A68&amp;"|"&amp;I$56),SUMIFS('Video Log'!H:H,'Video Log'!Z:Z,$A68&amp;"|"&amp;I$56),"")</f>
      </c>
      <c r="J68" s="4">
        <f>IF(I68="",IF($A68="","","—"),INDEX('Video Log'!T:T,MATCH($A68&amp;"|"&amp;I$56,'Video Log'!Z:Z,0)))</f>
      </c>
      <c r="K68" s="4">
        <f>IF(A68="","",IFERROR(INDEX(Settings!$F$5:$F$8,(MATCH(MAX(C68:I68),C68:I68,0)+1)/2),"—"))</f>
      </c>
      <c r="L68" s="4">
        <f>IFERROR(LARGE('Video Log'!Y:Y,11),"")</f>
      </c>
    </row>
    <row r="69" spans="1:12" x14ac:dyDescent="0.25">
      <c r="A69" s="4">
        <f>IF(L69="","",INDEX('Video Log'!B:B,L69))</f>
      </c>
      <c r="B69" s="21">
        <f>IF(A69="","",SUMIFS('Video Log'!AA:AA,'Video Log'!B:B,A69))</f>
      </c>
      <c r="C69" s="12">
        <f>IF(COUNTIF('Video Log'!Z:Z,$A69&amp;"|"&amp;C$56),SUMIFS('Video Log'!H:H,'Video Log'!Z:Z,$A69&amp;"|"&amp;C$56),"")</f>
      </c>
      <c r="D69" s="15">
        <f>IF(C69="",IF($A69="","","—"),INDEX('Video Log'!T:T,MATCH($A69&amp;"|"&amp;C$56,'Video Log'!Z:Z,0)))</f>
      </c>
      <c r="E69" s="12">
        <f>IF(COUNTIF('Video Log'!Z:Z,$A69&amp;"|"&amp;E$56),SUMIFS('Video Log'!H:H,'Video Log'!Z:Z,$A69&amp;"|"&amp;E$56),"")</f>
      </c>
      <c r="F69" s="4">
        <f>IF(E69="",IF($A69="","","—"),INDEX('Video Log'!T:T,MATCH($A69&amp;"|"&amp;E$56,'Video Log'!Z:Z,0)))</f>
      </c>
      <c r="G69" s="12">
        <f>IF(COUNTIF('Video Log'!Z:Z,$A69&amp;"|"&amp;G$56),SUMIFS('Video Log'!H:H,'Video Log'!Z:Z,$A69&amp;"|"&amp;G$56),"")</f>
      </c>
      <c r="H69" s="4">
        <f>IF(G69="",IF($A69="","","—"),INDEX('Video Log'!T:T,MATCH($A69&amp;"|"&amp;G$56,'Video Log'!Z:Z,0)))</f>
      </c>
      <c r="I69" s="12">
        <f>IF(COUNTIF('Video Log'!Z:Z,$A69&amp;"|"&amp;I$56),SUMIFS('Video Log'!H:H,'Video Log'!Z:Z,$A69&amp;"|"&amp;I$56),"")</f>
      </c>
      <c r="J69" s="4">
        <f>IF(I69="",IF($A69="","","—"),INDEX('Video Log'!T:T,MATCH($A69&amp;"|"&amp;I$56,'Video Log'!Z:Z,0)))</f>
      </c>
      <c r="K69" s="4">
        <f>IF(A69="","",IFERROR(INDEX(Settings!$F$5:$F$8,(MATCH(MAX(C69:I69),C69:I69,0)+1)/2),"—"))</f>
      </c>
      <c r="L69" s="4">
        <f>IFERROR(LARGE('Video Log'!Y:Y,12),"")</f>
      </c>
    </row>
  </sheetData>
  <sheetProtection sheet="1"/>
  <conditionalFormatting sqref="F13:F47">
    <cfRule type="containsText" dxfId="7" priority="1">
      <formula>NOT(ISERROR(SEARCH("Best",F13)))</formula>
    </cfRule>
  </conditionalFormatting>
  <conditionalFormatting sqref="G13:G47">
    <cfRule type="containsText" dxfId="8" priority="1">
      <formula>NOT(ISERROR(SEARCH("█",G13)))</formula>
    </cfRule>
  </conditionalFormatting>
  <conditionalFormatting sqref="E50:E54">
    <cfRule type="containsText" dxfId="9" priority="1">
      <formula>NOT(ISERROR(SEARCH("Winner",E50)))</formula>
    </cfRule>
  </conditionalFormatting>
  <conditionalFormatting sqref="E50:E54">
    <cfRule type="containsText" dxfId="10" priority="1">
      <formula>NOT(ISERROR(SEARCH("Flop",E50)))</formula>
    </cfRule>
  </conditionalFormatting>
  <conditionalFormatting sqref="D58:D69">
    <cfRule type="containsText" dxfId="11" priority="1">
      <formula>NOT(ISERROR(SEARCH("Winner",D58)))</formula>
    </cfRule>
  </conditionalFormatting>
  <conditionalFormatting sqref="D58:D69">
    <cfRule type="containsText" dxfId="12" priority="1">
      <formula>NOT(ISERROR(SEARCH("Flop",D58)))</formula>
    </cfRule>
  </conditionalFormatting>
  <conditionalFormatting sqref="F58:F69">
    <cfRule type="containsText" dxfId="13" priority="1">
      <formula>NOT(ISERROR(SEARCH("Winner",F58)))</formula>
    </cfRule>
  </conditionalFormatting>
  <conditionalFormatting sqref="F58:F69">
    <cfRule type="containsText" dxfId="14" priority="1">
      <formula>NOT(ISERROR(SEARCH("Flop",F58)))</formula>
    </cfRule>
  </conditionalFormatting>
  <conditionalFormatting sqref="H58:H69">
    <cfRule type="containsText" dxfId="15" priority="1">
      <formula>NOT(ISERROR(SEARCH("Winner",H58)))</formula>
    </cfRule>
  </conditionalFormatting>
  <conditionalFormatting sqref="H58:H69">
    <cfRule type="containsText" dxfId="16" priority="1">
      <formula>NOT(ISERROR(SEARCH("Flop",H58)))</formula>
    </cfRule>
  </conditionalFormatting>
  <conditionalFormatting sqref="J58:J69">
    <cfRule type="containsText" dxfId="17" priority="1">
      <formula>NOT(ISERROR(SEARCH("Winner",J58)))</formula>
    </cfRule>
  </conditionalFormatting>
  <conditionalFormatting sqref="J58:J69">
    <cfRule type="containsText" dxfId="18" priority="1">
      <formula>NOT(ISERROR(SEARCH("Flop",J58)))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2" customWidth="1"/>
    <col min="3" max="3" width="8" customWidth="1"/>
    <col min="4" max="4" width="12" customWidth="1"/>
    <col min="6" max="6" width="40" customWidth="1"/>
    <col min="7" max="7" width="12" customWidth="1"/>
    <col min="8" max="10" width="30" customWidth="1"/>
  </cols>
  <sheetData>
    <row r="1" spans="1:1" x14ac:dyDescent="0.25">
      <c r="A1" s="1" t="s">
        <v>42</v>
      </c>
    </row>
    <row r="2" spans="1:1" x14ac:dyDescent="0.25">
      <c r="A2" s="2" t="s">
        <v>291</v>
      </c>
    </row>
    <row r="4" spans="1:10" x14ac:dyDescent="0.25">
      <c r="A4" s="3" t="s">
        <v>292</v>
      </c>
      <c r="B4" s="3" t="s">
        <v>293</v>
      </c>
      <c r="C4" s="3" t="s">
        <v>277</v>
      </c>
      <c r="D4" s="3" t="s">
        <v>282</v>
      </c>
      <c r="E4" s="3" t="s">
        <v>264</v>
      </c>
      <c r="F4" s="3" t="s">
        <v>294</v>
      </c>
      <c r="G4" s="3" t="s">
        <v>233</v>
      </c>
      <c r="H4" s="3" t="s">
        <v>295</v>
      </c>
      <c r="I4" s="3" t="s">
        <v>296</v>
      </c>
      <c r="J4" s="3" t="s">
        <v>297</v>
      </c>
    </row>
    <row r="5" spans="1:10" x14ac:dyDescent="0.25">
      <c r="A5" s="4">
        <v>1</v>
      </c>
      <c r="B5" s="16">
        <f>Settings!$B$6+7*(A5-1)</f>
      </c>
      <c r="C5" s="15">
        <f>COUNTIFS('Video Log'!A:A,"&gt;="&amp;B5,'Video Log'!A:A,"&lt;"&amp;B5+7)</f>
      </c>
      <c r="D5" s="12">
        <f>SUMIFS('Video Log'!H:H,'Video Log'!A:A,"&gt;="&amp;B5,'Video Log'!A:A,"&lt;"&amp;B5+7)</f>
      </c>
      <c r="E5" s="15">
        <f>COUNTIFS('Video Log'!A:A,"&gt;="&amp;B5,'Video Log'!A:A,"&lt;"&amp;B5+7,'Video Log'!T:T,"*Winner")</f>
      </c>
      <c r="F5" s="4">
        <f>IF(D5=0,"",IFERROR(INDEX('Video Log'!B:B,MATCH(LARGE('Video Log'!X:X,COUNTIFS('Video Log'!X:X,"&gt;="&amp;(A5+1)*1E10)+1),'Video Log'!X:X,0)),""))</f>
      </c>
      <c r="G5" s="19">
        <f>SUMIFS('Video Log'!O:O,'Video Log'!A:A,"&gt;="&amp;B5,'Video Log'!A:A,"&lt;"&amp;B5+7)</f>
      </c>
      <c r="H5" s="22" t="s">
        <v>298</v>
      </c>
      <c r="I5" s="22" t="s">
        <v>299</v>
      </c>
      <c r="J5" s="22" t="s">
        <v>300</v>
      </c>
    </row>
    <row r="6" spans="1:10" x14ac:dyDescent="0.25">
      <c r="A6" s="4">
        <v>2</v>
      </c>
      <c r="B6" s="16">
        <f>Settings!$B$6+7*(A6-1)</f>
      </c>
      <c r="C6" s="15">
        <f>COUNTIFS('Video Log'!A:A,"&gt;="&amp;B6,'Video Log'!A:A,"&lt;"&amp;B6+7)</f>
      </c>
      <c r="D6" s="12">
        <f>SUMIFS('Video Log'!H:H,'Video Log'!A:A,"&gt;="&amp;B6,'Video Log'!A:A,"&lt;"&amp;B6+7)</f>
      </c>
      <c r="E6" s="15">
        <f>COUNTIFS('Video Log'!A:A,"&gt;="&amp;B6,'Video Log'!A:A,"&lt;"&amp;B6+7,'Video Log'!T:T,"*Winner")</f>
      </c>
      <c r="F6" s="4">
        <f>IF(D6=0,"",IFERROR(INDEX('Video Log'!B:B,MATCH(LARGE('Video Log'!X:X,COUNTIFS('Video Log'!X:X,"&gt;="&amp;(A6+1)*1E10)+1),'Video Log'!X:X,0)),""))</f>
      </c>
      <c r="G6" s="19">
        <f>SUMIFS('Video Log'!O:O,'Video Log'!A:A,"&gt;="&amp;B6,'Video Log'!A:A,"&lt;"&amp;B6+7)</f>
      </c>
      <c r="H6" s="22" t="s">
        <v>301</v>
      </c>
      <c r="I6" s="22" t="s">
        <v>302</v>
      </c>
      <c r="J6" s="22" t="s">
        <v>303</v>
      </c>
    </row>
    <row r="7" spans="1:7" x14ac:dyDescent="0.25">
      <c r="A7" s="4">
        <v>3</v>
      </c>
      <c r="B7" s="16">
        <f>Settings!$B$6+7*(A7-1)</f>
      </c>
      <c r="C7" s="15">
        <f>COUNTIFS('Video Log'!A:A,"&gt;="&amp;B7,'Video Log'!A:A,"&lt;"&amp;B7+7)</f>
      </c>
      <c r="D7" s="12">
        <f>SUMIFS('Video Log'!H:H,'Video Log'!A:A,"&gt;="&amp;B7,'Video Log'!A:A,"&lt;"&amp;B7+7)</f>
      </c>
      <c r="E7" s="15">
        <f>COUNTIFS('Video Log'!A:A,"&gt;="&amp;B7,'Video Log'!A:A,"&lt;"&amp;B7+7,'Video Log'!T:T,"*Winner")</f>
      </c>
      <c r="F7" s="4">
        <f>IF(D7=0,"",IFERROR(INDEX('Video Log'!B:B,MATCH(LARGE('Video Log'!X:X,COUNTIFS('Video Log'!X:X,"&gt;="&amp;(A7+1)*1E10)+1),'Video Log'!X:X,0)),""))</f>
      </c>
      <c r="G7" s="19">
        <f>SUMIFS('Video Log'!O:O,'Video Log'!A:A,"&gt;="&amp;B7,'Video Log'!A:A,"&lt;"&amp;B7+7)</f>
      </c>
    </row>
    <row r="8" spans="1:7" x14ac:dyDescent="0.25">
      <c r="A8" s="4">
        <v>4</v>
      </c>
      <c r="B8" s="16">
        <f>Settings!$B$6+7*(A8-1)</f>
      </c>
      <c r="C8" s="15">
        <f>COUNTIFS('Video Log'!A:A,"&gt;="&amp;B8,'Video Log'!A:A,"&lt;"&amp;B8+7)</f>
      </c>
      <c r="D8" s="12">
        <f>SUMIFS('Video Log'!H:H,'Video Log'!A:A,"&gt;="&amp;B8,'Video Log'!A:A,"&lt;"&amp;B8+7)</f>
      </c>
      <c r="E8" s="15">
        <f>COUNTIFS('Video Log'!A:A,"&gt;="&amp;B8,'Video Log'!A:A,"&lt;"&amp;B8+7,'Video Log'!T:T,"*Winner")</f>
      </c>
      <c r="F8" s="4">
        <f>IF(D8=0,"",IFERROR(INDEX('Video Log'!B:B,MATCH(LARGE('Video Log'!X:X,COUNTIFS('Video Log'!X:X,"&gt;="&amp;(A8+1)*1E10)+1),'Video Log'!X:X,0)),""))</f>
      </c>
      <c r="G8" s="19">
        <f>SUMIFS('Video Log'!O:O,'Video Log'!A:A,"&gt;="&amp;B8,'Video Log'!A:A,"&lt;"&amp;B8+7)</f>
      </c>
    </row>
    <row r="9" spans="1:7" x14ac:dyDescent="0.25">
      <c r="A9" s="4">
        <v>5</v>
      </c>
      <c r="B9" s="16">
        <f>Settings!$B$6+7*(A9-1)</f>
      </c>
      <c r="C9" s="15">
        <f>COUNTIFS('Video Log'!A:A,"&gt;="&amp;B9,'Video Log'!A:A,"&lt;"&amp;B9+7)</f>
      </c>
      <c r="D9" s="12">
        <f>SUMIFS('Video Log'!H:H,'Video Log'!A:A,"&gt;="&amp;B9,'Video Log'!A:A,"&lt;"&amp;B9+7)</f>
      </c>
      <c r="E9" s="15">
        <f>COUNTIFS('Video Log'!A:A,"&gt;="&amp;B9,'Video Log'!A:A,"&lt;"&amp;B9+7,'Video Log'!T:T,"*Winner")</f>
      </c>
      <c r="F9" s="4">
        <f>IF(D9=0,"",IFERROR(INDEX('Video Log'!B:B,MATCH(LARGE('Video Log'!X:X,COUNTIFS('Video Log'!X:X,"&gt;="&amp;(A9+1)*1E10)+1),'Video Log'!X:X,0)),""))</f>
      </c>
      <c r="G9" s="19">
        <f>SUMIFS('Video Log'!O:O,'Video Log'!A:A,"&gt;="&amp;B9,'Video Log'!A:A,"&lt;"&amp;B9+7)</f>
      </c>
    </row>
    <row r="10" spans="1:7" x14ac:dyDescent="0.25">
      <c r="A10" s="4">
        <v>6</v>
      </c>
      <c r="B10" s="16">
        <f>Settings!$B$6+7*(A10-1)</f>
      </c>
      <c r="C10" s="15">
        <f>COUNTIFS('Video Log'!A:A,"&gt;="&amp;B10,'Video Log'!A:A,"&lt;"&amp;B10+7)</f>
      </c>
      <c r="D10" s="12">
        <f>SUMIFS('Video Log'!H:H,'Video Log'!A:A,"&gt;="&amp;B10,'Video Log'!A:A,"&lt;"&amp;B10+7)</f>
      </c>
      <c r="E10" s="15">
        <f>COUNTIFS('Video Log'!A:A,"&gt;="&amp;B10,'Video Log'!A:A,"&lt;"&amp;B10+7,'Video Log'!T:T,"*Winner")</f>
      </c>
      <c r="F10" s="4">
        <f>IF(D10=0,"",IFERROR(INDEX('Video Log'!B:B,MATCH(LARGE('Video Log'!X:X,COUNTIFS('Video Log'!X:X,"&gt;="&amp;(A10+1)*1E10)+1),'Video Log'!X:X,0)),""))</f>
      </c>
      <c r="G10" s="19">
        <f>SUMIFS('Video Log'!O:O,'Video Log'!A:A,"&gt;="&amp;B10,'Video Log'!A:A,"&lt;"&amp;B10+7)</f>
      </c>
    </row>
    <row r="11" spans="1:7" x14ac:dyDescent="0.25">
      <c r="A11" s="4">
        <v>7</v>
      </c>
      <c r="B11" s="16">
        <f>Settings!$B$6+7*(A11-1)</f>
      </c>
      <c r="C11" s="15">
        <f>COUNTIFS('Video Log'!A:A,"&gt;="&amp;B11,'Video Log'!A:A,"&lt;"&amp;B11+7)</f>
      </c>
      <c r="D11" s="12">
        <f>SUMIFS('Video Log'!H:H,'Video Log'!A:A,"&gt;="&amp;B11,'Video Log'!A:A,"&lt;"&amp;B11+7)</f>
      </c>
      <c r="E11" s="15">
        <f>COUNTIFS('Video Log'!A:A,"&gt;="&amp;B11,'Video Log'!A:A,"&lt;"&amp;B11+7,'Video Log'!T:T,"*Winner")</f>
      </c>
      <c r="F11" s="4">
        <f>IF(D11=0,"",IFERROR(INDEX('Video Log'!B:B,MATCH(LARGE('Video Log'!X:X,COUNTIFS('Video Log'!X:X,"&gt;="&amp;(A11+1)*1E10)+1),'Video Log'!X:X,0)),""))</f>
      </c>
      <c r="G11" s="19">
        <f>SUMIFS('Video Log'!O:O,'Video Log'!A:A,"&gt;="&amp;B11,'Video Log'!A:A,"&lt;"&amp;B11+7)</f>
      </c>
    </row>
    <row r="12" spans="1:7" x14ac:dyDescent="0.25">
      <c r="A12" s="4">
        <v>8</v>
      </c>
      <c r="B12" s="16">
        <f>Settings!$B$6+7*(A12-1)</f>
      </c>
      <c r="C12" s="15">
        <f>COUNTIFS('Video Log'!A:A,"&gt;="&amp;B12,'Video Log'!A:A,"&lt;"&amp;B12+7)</f>
      </c>
      <c r="D12" s="12">
        <f>SUMIFS('Video Log'!H:H,'Video Log'!A:A,"&gt;="&amp;B12,'Video Log'!A:A,"&lt;"&amp;B12+7)</f>
      </c>
      <c r="E12" s="15">
        <f>COUNTIFS('Video Log'!A:A,"&gt;="&amp;B12,'Video Log'!A:A,"&lt;"&amp;B12+7,'Video Log'!T:T,"*Winner")</f>
      </c>
      <c r="F12" s="4">
        <f>IF(D12=0,"",IFERROR(INDEX('Video Log'!B:B,MATCH(LARGE('Video Log'!X:X,COUNTIFS('Video Log'!X:X,"&gt;="&amp;(A12+1)*1E10)+1),'Video Log'!X:X,0)),""))</f>
      </c>
      <c r="G12" s="19">
        <f>SUMIFS('Video Log'!O:O,'Video Log'!A:A,"&gt;="&amp;B12,'Video Log'!A:A,"&lt;"&amp;B12+7)</f>
      </c>
    </row>
    <row r="13" spans="1:7" x14ac:dyDescent="0.25">
      <c r="A13" s="4">
        <v>9</v>
      </c>
      <c r="B13" s="16">
        <f>Settings!$B$6+7*(A13-1)</f>
      </c>
      <c r="C13" s="15">
        <f>COUNTIFS('Video Log'!A:A,"&gt;="&amp;B13,'Video Log'!A:A,"&lt;"&amp;B13+7)</f>
      </c>
      <c r="D13" s="12">
        <f>SUMIFS('Video Log'!H:H,'Video Log'!A:A,"&gt;="&amp;B13,'Video Log'!A:A,"&lt;"&amp;B13+7)</f>
      </c>
      <c r="E13" s="15">
        <f>COUNTIFS('Video Log'!A:A,"&gt;="&amp;B13,'Video Log'!A:A,"&lt;"&amp;B13+7,'Video Log'!T:T,"*Winner")</f>
      </c>
      <c r="F13" s="4">
        <f>IF(D13=0,"",IFERROR(INDEX('Video Log'!B:B,MATCH(LARGE('Video Log'!X:X,COUNTIFS('Video Log'!X:X,"&gt;="&amp;(A13+1)*1E10)+1),'Video Log'!X:X,0)),""))</f>
      </c>
      <c r="G13" s="19">
        <f>SUMIFS('Video Log'!O:O,'Video Log'!A:A,"&gt;="&amp;B13,'Video Log'!A:A,"&lt;"&amp;B13+7)</f>
      </c>
    </row>
    <row r="14" spans="1:7" x14ac:dyDescent="0.25">
      <c r="A14" s="4">
        <v>10</v>
      </c>
      <c r="B14" s="16">
        <f>Settings!$B$6+7*(A14-1)</f>
      </c>
      <c r="C14" s="15">
        <f>COUNTIFS('Video Log'!A:A,"&gt;="&amp;B14,'Video Log'!A:A,"&lt;"&amp;B14+7)</f>
      </c>
      <c r="D14" s="12">
        <f>SUMIFS('Video Log'!H:H,'Video Log'!A:A,"&gt;="&amp;B14,'Video Log'!A:A,"&lt;"&amp;B14+7)</f>
      </c>
      <c r="E14" s="15">
        <f>COUNTIFS('Video Log'!A:A,"&gt;="&amp;B14,'Video Log'!A:A,"&lt;"&amp;B14+7,'Video Log'!T:T,"*Winner")</f>
      </c>
      <c r="F14" s="4">
        <f>IF(D14=0,"",IFERROR(INDEX('Video Log'!B:B,MATCH(LARGE('Video Log'!X:X,COUNTIFS('Video Log'!X:X,"&gt;="&amp;(A14+1)*1E10)+1),'Video Log'!X:X,0)),""))</f>
      </c>
      <c r="G14" s="19">
        <f>SUMIFS('Video Log'!O:O,'Video Log'!A:A,"&gt;="&amp;B14,'Video Log'!A:A,"&lt;"&amp;B14+7)</f>
      </c>
    </row>
    <row r="15" spans="1:7" x14ac:dyDescent="0.25">
      <c r="A15" s="4">
        <v>11</v>
      </c>
      <c r="B15" s="16">
        <f>Settings!$B$6+7*(A15-1)</f>
      </c>
      <c r="C15" s="15">
        <f>COUNTIFS('Video Log'!A:A,"&gt;="&amp;B15,'Video Log'!A:A,"&lt;"&amp;B15+7)</f>
      </c>
      <c r="D15" s="12">
        <f>SUMIFS('Video Log'!H:H,'Video Log'!A:A,"&gt;="&amp;B15,'Video Log'!A:A,"&lt;"&amp;B15+7)</f>
      </c>
      <c r="E15" s="15">
        <f>COUNTIFS('Video Log'!A:A,"&gt;="&amp;B15,'Video Log'!A:A,"&lt;"&amp;B15+7,'Video Log'!T:T,"*Winner")</f>
      </c>
      <c r="F15" s="4">
        <f>IF(D15=0,"",IFERROR(INDEX('Video Log'!B:B,MATCH(LARGE('Video Log'!X:X,COUNTIFS('Video Log'!X:X,"&gt;="&amp;(A15+1)*1E10)+1),'Video Log'!X:X,0)),""))</f>
      </c>
      <c r="G15" s="19">
        <f>SUMIFS('Video Log'!O:O,'Video Log'!A:A,"&gt;="&amp;B15,'Video Log'!A:A,"&lt;"&amp;B15+7)</f>
      </c>
    </row>
    <row r="16" spans="1:7" x14ac:dyDescent="0.25">
      <c r="A16" s="4">
        <v>12</v>
      </c>
      <c r="B16" s="16">
        <f>Settings!$B$6+7*(A16-1)</f>
      </c>
      <c r="C16" s="15">
        <f>COUNTIFS('Video Log'!A:A,"&gt;="&amp;B16,'Video Log'!A:A,"&lt;"&amp;B16+7)</f>
      </c>
      <c r="D16" s="12">
        <f>SUMIFS('Video Log'!H:H,'Video Log'!A:A,"&gt;="&amp;B16,'Video Log'!A:A,"&lt;"&amp;B16+7)</f>
      </c>
      <c r="E16" s="15">
        <f>COUNTIFS('Video Log'!A:A,"&gt;="&amp;B16,'Video Log'!A:A,"&lt;"&amp;B16+7,'Video Log'!T:T,"*Winner")</f>
      </c>
      <c r="F16" s="4">
        <f>IF(D16=0,"",IFERROR(INDEX('Video Log'!B:B,MATCH(LARGE('Video Log'!X:X,COUNTIFS('Video Log'!X:X,"&gt;="&amp;(A16+1)*1E10)+1),'Video Log'!X:X,0)),""))</f>
      </c>
      <c r="G16" s="19">
        <f>SUMIFS('Video Log'!O:O,'Video Log'!A:A,"&gt;="&amp;B16,'Video Log'!A:A,"&lt;"&amp;B16+7)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Settings</vt:lpstr>
      <vt:lpstr>Idea Bank</vt:lpstr>
      <vt:lpstr>Video Log</vt:lpstr>
      <vt:lpstr>Revenue Estimator</vt:lpstr>
      <vt:lpstr>Dashboard</vt:lpstr>
      <vt:lpstr>Weekly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Hustle Studio</dc:creator>
  <dc:title/>
  <dc:subject/>
  <dc:description/>
  <cp:keywords/>
  <cp:category/>
  <cp:lastModifiedBy>Unknown</cp:lastModifiedBy>
  <dcterms:created xsi:type="dcterms:W3CDTF">2026-10-12T07:01:41Z</dcterms:created>
  <dcterms:modified xsi:type="dcterms:W3CDTF">2026-10-12T07:01:41Z</dcterms:modified>
</cp:coreProperties>
</file>