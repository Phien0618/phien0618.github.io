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Settings" state="visible" r:id="rId5"/>
    <sheet sheetId="3" name="Clients" state="visible" r:id="rId6"/>
    <sheet sheetId="4" name="Projects" state="visible" r:id="rId7"/>
    <sheet sheetId="5" name="Invoices" state="visible" r:id="rId8"/>
    <sheet sheetId="6" name="Monthly" state="visible" r:id="rId9"/>
    <sheet sheetId="7" name="Dashboard" state="visible" r:id="rId10"/>
    <sheet sheetId="8" name="Reminders Today" state="visible" r:id="rId11"/>
  </sheets>
  <calcPr calcId="171027"/>
</workbook>
</file>

<file path=xl/sharedStrings.xml><?xml version="1.0" encoding="utf-8"?>
<sst xmlns="http://schemas.openxmlformats.org/spreadsheetml/2006/main" count="327" uniqueCount="263">
  <si>
    <t>Start Here: Freelance Client &amp; Invoice Tracker</t>
  </si>
  <si>
    <t>Read this tab once. Cream = type here · White = formula.</t>
  </si>
  <si>
    <t>How to use this workbook</t>
  </si>
  <si>
    <t>Every unpaid invoice gets its reminder email written for you. Works in Excel and Sheets.</t>
  </si>
  <si>
    <t/>
  </si>
  <si>
    <t>SET UP IN 4 STEPS</t>
  </si>
  <si>
    <t>1. Settings: type your name, business name, currency symbol and monthly income goal.</t>
  </si>
  <si>
    <t>2. Clients: add one row per client (name exactly as you will type it on invoices).</t>
  </si>
  <si>
    <t>3. Projects: log leads, proposals and jobs. Invoices: log every invoice you send.</t>
  </si>
  <si>
    <t>4. Every Monday: open Reminders Today, copy the subject and body, send.</t>
  </si>
  <si>
    <t>COLOUR LEGEND</t>
  </si>
  <si>
    <t>Cream cell = type here (input)</t>
  </si>
  <si>
    <t>White cell = formula, don't type over it</t>
  </si>
  <si>
    <t>Green = Paid / effective rate at or above plan / goal reached</t>
  </si>
  <si>
    <t>Amber = Due soon / Follow up / advice line</t>
  </si>
  <si>
    <t>Red = Overdue / Final notice / Not in Clients / Duplicate name / Ask 50% deposit</t>
  </si>
  <si>
    <t>TABS</t>
  </si>
  <si>
    <t>Settings: your details, goal, reminder thresholds, win chances, the 4 email templates.</t>
  </si>
  <si>
    <t>Clients: totals, overdue, average days to pay and a deposit flag per client.</t>
  </si>
  <si>
    <t>Projects: weighted pipeline, expected close, planned vs effective rate, follow-ups.</t>
  </si>
  <si>
    <t>Invoices: due date, balance, status, days overdue and which reminder to send.</t>
  </si>
  <si>
    <t>Monthly: invoiced, collected and expected pipeline per month, text bar vs goal.</t>
  </si>
  <si>
    <t>Dashboard: key numbers, next month's pipeline vs goal and advice lines.</t>
  </si>
  <si>
    <t>Reminders Today: up to 15 reminders, most overdue first, subject and body filled in.</t>
  </si>
  <si>
    <t>PIPELINE: WILL NEXT MONTH REACH MY GOAL?</t>
  </si>
  <si>
    <t>Projects: Win chance comes from the stage % on Settings.</t>
  </si>
  <si>
    <t>Own win % (Projects column O): type a % for one proposal to override the stage %.</t>
  </si>
  <si>
    <t>Expected close (Projects column P): the date you expect a yes.</t>
  </si>
  <si>
    <t>Dashboard rows 27-32 show next month's weighted pipeline vs your goal.</t>
  </si>
  <si>
    <t>Monthly column F spreads the weighted pipeline over the expected close months.</t>
  </si>
  <si>
    <t>CLEAR THE SAMPLE DATA</t>
  </si>
  <si>
    <t>Delete the sample rows' cream cells on Clients, Projects and Invoices (not the white ones).</t>
  </si>
  <si>
    <t>Sample dates are formulas like =Settings!$B$9-40. Type your own dates over them.</t>
  </si>
  <si>
    <t>Settings Today is =TODAY(). Type a fixed date there to test, then put =TODAY() back.</t>
  </si>
  <si>
    <t>GOOGLE SHEETS</t>
  </si>
  <si>
    <t>Google Sheets: File → Import → Upload → choose this file → Replace spreadsheet.</t>
  </si>
  <si>
    <t>NEED MORE ROWS?</t>
  </si>
  <si>
    <t>Formula rows: Clients 5–34, Projects 5–54, Invoices 5–64, Reminders Today 5–19.</t>
  </si>
  <si>
    <t>Select the last filled row → Copy → select the rows below → Paste.</t>
  </si>
  <si>
    <t>Totals already include every row down to row 1000.</t>
  </si>
  <si>
    <t>More than 15 reminders a day? On Reminders Today, copy row 19 down the same way.</t>
  </si>
  <si>
    <t>CLIENT NAMES</t>
  </si>
  <si>
    <t>Type client names exactly as on the Clients tab.</t>
  </si>
  <si>
    <t>The Check column says 'Not in Clients' if a name doesn't match.</t>
  </si>
  <si>
    <t>COPYING AN EMAIL</t>
  </si>
  <si>
    <t>Click the Email body cell, copy it (Ctrl/Cmd+C) and paste it into your email app.</t>
  </si>
  <si>
    <t>CAN I ADD A REAL CHART?</t>
  </si>
  <si>
    <t>Yes: select Monthly A4:C16 → Insert → Chart. Steps are in the guide FAQ.</t>
  </si>
  <si>
    <t>LOCKED TAB (NO PASSWORD)</t>
  </si>
  <si>
    <t>Dashboard is protected only so a stray click can't overwrite a formula.</t>
  </si>
  <si>
    <t>There is no password. Excel: Review → Unprotect Sheet (one click).</t>
  </si>
  <si>
    <t>Google Sheets: Data → Protect sheets and ranges → delete the rule.</t>
  </si>
  <si>
    <t>Dashboard column D (Your notes) stays editable while the tab is locked.</t>
  </si>
  <si>
    <t>Every other tab is unlocked.</t>
  </si>
  <si>
    <t>WHAT'S NOT IN THIS FILE</t>
  </si>
  <si>
    <t>No accounting, no tax, no automatic emailing, no native charts (text bars instead).</t>
  </si>
  <si>
    <t>Tracking tool, not accounting, tax or legal advice.</t>
  </si>
  <si>
    <t>Settings</t>
  </si>
  <si>
    <t>Cream = type here. Stage names are fixed (dropdown); the win chance % is yours to change.</t>
  </si>
  <si>
    <t>Setting</t>
  </si>
  <si>
    <t>Value</t>
  </si>
  <si>
    <t>Notes / auto</t>
  </si>
  <si>
    <t>Your name</t>
  </si>
  <si>
    <t>Maya Ortiz</t>
  </si>
  <si>
    <t>Signs your reminder emails</t>
  </si>
  <si>
    <t>Business name</t>
  </si>
  <si>
    <t>Maya Ortiz Studio</t>
  </si>
  <si>
    <t>Optional</t>
  </si>
  <si>
    <t>Currency symbol</t>
  </si>
  <si>
    <t>$</t>
  </si>
  <si>
    <t>Used in reminder emails only</t>
  </si>
  <si>
    <t>Monthly income goal</t>
  </si>
  <si>
    <t>Dashboard and Monthly compare to this</t>
  </si>
  <si>
    <t>Today</t>
  </si>
  <si>
    <t>Type a fixed date to test; put =TODAY() back</t>
  </si>
  <si>
    <t>Reply window days (pay-by date)</t>
  </si>
  <si>
    <t>Pay-by date = Today + this</t>
  </si>
  <si>
    <t>Heads-up: due in ≤ N days</t>
  </si>
  <si>
    <t>Reminder threshold</t>
  </si>
  <si>
    <t>Friendly nudge: from N days late</t>
  </si>
  <si>
    <t>Firm reminder: from N days late</t>
  </si>
  <si>
    <t>Final notice: from N days late</t>
  </si>
  <si>
    <t>Proposal follow-up after N days</t>
  </si>
  <si>
    <t>Projects Follow-up column</t>
  </si>
  <si>
    <t>Late fee in my terms?</t>
  </si>
  <si>
    <t>No</t>
  </si>
  <si>
    <t>Dropdown Yes/No</t>
  </si>
  <si>
    <t>Late fee wording</t>
  </si>
  <si>
    <t>a late fee of 1.5% per month</t>
  </si>
  <si>
    <t>Used in Final notice when Late fee = Yes</t>
  </si>
  <si>
    <t>STAGE (fixed names)</t>
  </si>
  <si>
    <t>Win chance % is editable; Projects column O overrides it per row</t>
  </si>
  <si>
    <t>Lead</t>
  </si>
  <si>
    <t>Proposal sent</t>
  </si>
  <si>
    <t>Won</t>
  </si>
  <si>
    <t>In progress</t>
  </si>
  <si>
    <t>Done</t>
  </si>
  <si>
    <t>Lost</t>
  </si>
  <si>
    <t>Source dropdown: Referral, Website, Upwork, LinkedIn, Repeat client, Other</t>
  </si>
  <si>
    <t>Terms dropdown: 7, 14, 30, 45, 60 days</t>
  </si>
  <si>
    <t>REMINDER TEMPLATES</t>
  </si>
  <si>
    <t>Placeholders: {first} {inv} {amount} {due} {days} {paydate} {me} {latefee}</t>
  </si>
  <si>
    <t>Heads-up</t>
  </si>
  <si>
    <t>Invoice {inv} is due on {due}</t>
  </si>
  <si>
    <t>Subject</t>
  </si>
  <si>
    <t>Heads-up body</t>
  </si>
  <si>
    <t>Hi {first}, a quick heads-up that invoice {inv} for {amount} is due on {due}. Everything you need to pay is on the invoice. Thanks, {me}</t>
  </si>
  <si>
    <t>Body</t>
  </si>
  <si>
    <t>Friendly nudge</t>
  </si>
  <si>
    <t>Quick reminder: invoice {inv}</t>
  </si>
  <si>
    <t>Friendly nudge body</t>
  </si>
  <si>
    <t>Hi {first}, invoice {inv} for {amount} was due on {due}, {days} days ago. Could you let me know when it's scheduled? If it's already on its way, thank you, and please ignore this. Best, {me}</t>
  </si>
  <si>
    <t>Firm reminder</t>
  </si>
  <si>
    <t>Invoice {inv} is now {days} days overdue</t>
  </si>
  <si>
    <t>Firm reminder body</t>
  </si>
  <si>
    <t>Hi {first}, invoice {inv} for {amount} was due on {due} and is now {days} days overdue. Please pay the balance of {amount} by {paydate}, or reply with the date it will be paid. Thank you, {me}</t>
  </si>
  <si>
    <t>Final notice</t>
  </si>
  <si>
    <t>Final notice: invoice {inv}</t>
  </si>
  <si>
    <t>Final notice body</t>
  </si>
  <si>
    <t>Hi {first}, invoice {inv} is now {days} days overdue and I haven't had a reply to my earlier reminders. If the balance of {amount} isn't paid by {paydate}, I'll pause any further work{latefee}. If there's a problem with the invoice, please reply today so we can sort it out. Regards, {me}</t>
  </si>
  <si>
    <t>Body ({latefee} is empty when Late fee = No)</t>
  </si>
  <si>
    <t>Pay-by date (auto, {paydate})</t>
  </si>
  <si>
    <t>Signature (auto, {me})</t>
  </si>
  <si>
    <t>Late fee text (auto, {latefee})</t>
  </si>
  <si>
    <t>Clients</t>
  </si>
  <si>
    <t>Cream = type here · White = formula. Type names exactly as you use them on Invoices and Projects.</t>
  </si>
  <si>
    <t>Client name</t>
  </si>
  <si>
    <t>Contact first name</t>
  </si>
  <si>
    <t>Email</t>
  </si>
  <si>
    <t>Source</t>
  </si>
  <si>
    <t>Duplicate check</t>
  </si>
  <si>
    <t>Invoiced</t>
  </si>
  <si>
    <t>Paid</t>
  </si>
  <si>
    <t>Outstanding</t>
  </si>
  <si>
    <t>Overdue</t>
  </si>
  <si>
    <t>Avg days to pay</t>
  </si>
  <si>
    <t>Flag</t>
  </si>
  <si>
    <t>Northwind Studio</t>
  </si>
  <si>
    <t>Dana</t>
  </si>
  <si>
    <t>dana@example.com</t>
  </si>
  <si>
    <t>Referral</t>
  </si>
  <si>
    <t>Harbor &amp; Pine</t>
  </si>
  <si>
    <t>Leo</t>
  </si>
  <si>
    <t>leo@example.com</t>
  </si>
  <si>
    <t>Website</t>
  </si>
  <si>
    <t>Atlas Legal</t>
  </si>
  <si>
    <t>Marcus</t>
  </si>
  <si>
    <t>marcus@example.com</t>
  </si>
  <si>
    <t>LinkedIn</t>
  </si>
  <si>
    <t>Lumen Coffee</t>
  </si>
  <si>
    <t>Priya</t>
  </si>
  <si>
    <t>priya@example.com</t>
  </si>
  <si>
    <t>Quill Health</t>
  </si>
  <si>
    <t>Sam</t>
  </si>
  <si>
    <t>sam@example.com</t>
  </si>
  <si>
    <t>Upwork</t>
  </si>
  <si>
    <t>Projects</t>
  </si>
  <si>
    <t>Cream = type here · White = formula. Own win % (O) overrides the stage %; Expected close (P) feeds next month's pipeline.</t>
  </si>
  <si>
    <t>Project</t>
  </si>
  <si>
    <t>Client</t>
  </si>
  <si>
    <t>Stage</t>
  </si>
  <si>
    <t>Quoted fee</t>
  </si>
  <si>
    <t>Est. hours</t>
  </si>
  <si>
    <t>Actual hours</t>
  </si>
  <si>
    <t>Check</t>
  </si>
  <si>
    <t>Win chance</t>
  </si>
  <si>
    <t>Weighted value</t>
  </si>
  <si>
    <t>Planned rate</t>
  </si>
  <si>
    <t>Effective rate</t>
  </si>
  <si>
    <t>Hours over</t>
  </si>
  <si>
    <t>Follow-up</t>
  </si>
  <si>
    <t>Own win % (optional)</t>
  </si>
  <si>
    <t>Expected close</t>
  </si>
  <si>
    <t>Brand refresh</t>
  </si>
  <si>
    <t>Website copy + blog pack</t>
  </si>
  <si>
    <t>Contract templates</t>
  </si>
  <si>
    <t>Menu redesign</t>
  </si>
  <si>
    <t>Onboarding emails</t>
  </si>
  <si>
    <t>Shopify build</t>
  </si>
  <si>
    <t>Annual report design</t>
  </si>
  <si>
    <t>Packaging refresh</t>
  </si>
  <si>
    <t>Podcast branding</t>
  </si>
  <si>
    <t>Invoices</t>
  </si>
  <si>
    <t>Cream = type here · White = formula. Sample dates are formulas relative to Settings Today: type over them.</t>
  </si>
  <si>
    <t>Invoice #</t>
  </si>
  <si>
    <t>Issue date</t>
  </si>
  <si>
    <t>Terms days</t>
  </si>
  <si>
    <t>Amount</t>
  </si>
  <si>
    <t>Paid date</t>
  </si>
  <si>
    <t>Amount paid</t>
  </si>
  <si>
    <t>Due date</t>
  </si>
  <si>
    <t>Balance</t>
  </si>
  <si>
    <t>Status</t>
  </si>
  <si>
    <t>Days overdue</t>
  </si>
  <si>
    <t>Days to pay</t>
  </si>
  <si>
    <t>Send this</t>
  </si>
  <si>
    <t>Reminder score (helper)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</si>
  <si>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</si>
  <si>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</si>
  <si>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</si>
  <si>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</si>
  <si>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</si>
  <si>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</si>
  <si>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</si>
  <si>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</si>
  <si>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Monthly</t>
  </si>
  <si>
    <t>Invoiced by issue date, collected by paid date, pipeline by expected close. Not locked: select A4:C16 → Insert → Chart.</t>
  </si>
  <si>
    <t>Month</t>
  </si>
  <si>
    <t>Collected</t>
  </si>
  <si>
    <t>Collected vs goal</t>
  </si>
  <si>
    <t>Bar (20 blocks = 100%)</t>
  </si>
  <si>
    <t>Pipeline expected (weighted)</t>
  </si>
  <si>
    <t xml:space="preserve"> 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</si>
  <si>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</si>
  <si>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</si>
  <si>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</si>
  <si>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</si>
  <si>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</si>
  <si>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</si>
  <si>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</si>
  <si>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</si>
  <si>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</si>
  <si>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</si>
  <si>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</si>
  <si>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</si>
  <si>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</si>
  <si>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</si>
  <si>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Dashboard</t>
  </si>
  <si>
    <t>All formulas. Locked without a password (Review → Unprotect Sheet). Column D is yours for notes.</t>
  </si>
  <si>
    <t>Key number</t>
  </si>
  <si>
    <t>Progress bar</t>
  </si>
  <si>
    <t>Your notes (editable)</t>
  </si>
  <si>
    <t>Collected this calendar month</t>
  </si>
  <si>
    <t>Collected in the last 30 days</t>
  </si>
  <si>
    <t>Progress: last 30 days vs goal</t>
  </si>
  <si>
    <t>Progress: this calendar month vs goal</t>
  </si>
  <si>
    <t>Outstanding (all unpaid balances)</t>
  </si>
  <si>
    <t>Overdue amount</t>
  </si>
  <si>
    <t>Overdue invoices</t>
  </si>
  <si>
    <t>Due in the next 7 days</t>
  </si>
  <si>
    <t>Reminders to send today</t>
  </si>
  <si>
    <t>Average days to pay (paid in full)</t>
  </si>
  <si>
    <t>Total invoiced</t>
  </si>
  <si>
    <t>Total paid</t>
  </si>
  <si>
    <t>Weighted pipeline (Lead + Proposal sent)</t>
  </si>
  <si>
    <t>Booked work (Won + In progress)</t>
  </si>
  <si>
    <t>Real hourly rate (Done projects)</t>
  </si>
  <si>
    <t>Planned hourly rate (Done projects)</t>
  </si>
  <si>
    <t>Proposals to follow up</t>
  </si>
  <si>
    <t>NEXT MONTH</t>
  </si>
  <si>
    <t>Weighted pipeline expected to close next month</t>
  </si>
  <si>
    <t>Next month: weighted pipeline vs goal</t>
  </si>
  <si>
    <t>Gap to goal if only that pipeline closes</t>
  </si>
  <si>
    <t>Open leads/proposals with no expected close date</t>
  </si>
  <si>
    <t>Reminders Today</t>
  </si>
  <si>
    <t>Most overdue first. Click Email body, copy, paste into your email. Helper columns fill it in.</t>
  </si>
  <si>
    <t>#</t>
  </si>
  <si>
    <t>Score (helper)</t>
  </si>
  <si>
    <t>First name</t>
  </si>
  <si>
    <t>Amount (text)</t>
  </si>
  <si>
    <t>Due (text)</t>
  </si>
  <si>
    <t>Email subject</t>
  </si>
  <si>
    <t>Email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</si>
</sst>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 d, yyyy"/>
    <numFmt numFmtId="165" formatCode="0.0"/>
    <numFmt numFmtId="166" formatCode="0.00000"/>
  </numFmts>
  <fonts count="4" x14ac:knownFonts="1">
    <font>
      <color theme="1"/>
      <family val="2"/>
      <scheme val="minor"/>
      <sz val="11"/>
      <name val="Calibri"/>
    </font>
    <font>
      <b/>
      <color rgb="FF1F2A44"/>
      <sz val="16"/>
    </font>
    <font>
      <i/>
      <color rgb="FF6B6F7A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C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1" xfId="0" applyBorder="1"/>
    <xf numFmtId="0" fontId="0" fillId="3" borderId="1" xfId="0" applyFill="1" applyBorder="1"/>
    <xf numFmtId="4" fontId="0" fillId="3" borderId="1" xfId="0" applyNumberFormat="1" applyFill="1" applyBorder="1"/>
    <xf numFmtId="164" fontId="0" fillId="3" borderId="1" xfId="0" applyNumberFormat="1" applyFill="1" applyBorder="1"/>
    <xf numFmtId="9" fontId="0" fillId="3" borderId="1" xfId="0" applyNumberFormat="1" applyFill="1" applyBorder="1"/>
    <xf numFmtId="4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0" fillId="0" borderId="0" xfId="0" applyProtection="1">
      <protection locked="0"/>
    </xf>
    <xf numFmtId="1" fontId="0" fillId="0" borderId="1" xfId="0" applyNumberFormat="1" applyBorder="1"/>
  </cellXfs>
  <cellStyles count="1">
    <cellStyle name="Normal" xfId="0" builtinId="0"/>
  </cellStyles>
  <dxfs count="19">
    <dxf>
      <font>
        <color rgb="FF1E1E24"/>
      </font>
      <fill>
        <patternFill patternType="solid">
          <bgColor rgb="FFFFF4E5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8A5A00"/>
      </font>
      <fill>
        <patternFill patternType="solid">
          <bgColor rgb="FFFCEFD2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8A5A00"/>
      </font>
      <fill>
        <patternFill patternType="solid">
          <bgColor rgb="FFFCEFD2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8A5A00"/>
      </font>
      <fill>
        <patternFill patternType="solid">
          <bgColor rgb="FFFCEFD2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8A5A00"/>
      </font>
      <fill>
        <patternFill patternType="solid">
          <bgColor rgb="FFFCEFD2"/>
        </patternFill>
      </fill>
    </dxf>
    <dxf>
      <font>
        <color rgb="FFA3271B"/>
      </font>
      <fill>
        <patternFill patternType="solid">
          <bgColor rgb="FFFBE1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1" spans="1:1" x14ac:dyDescent="0.25">
      <c r="A11" s="4" t="s">
        <v>9</v>
      </c>
    </row>
    <row r="12" spans="1:1" x14ac:dyDescent="0.25">
      <c r="A12" s="4" t="s">
        <v>4</v>
      </c>
    </row>
    <row r="13" spans="1:1" x14ac:dyDescent="0.25">
      <c r="A13" s="4" t="s">
        <v>10</v>
      </c>
    </row>
    <row r="14" spans="1:1" x14ac:dyDescent="0.25">
      <c r="A14" s="4" t="s">
        <v>11</v>
      </c>
    </row>
    <row r="15" spans="1:1" x14ac:dyDescent="0.25">
      <c r="A15" s="4" t="s">
        <v>12</v>
      </c>
    </row>
    <row r="16" spans="1:1" x14ac:dyDescent="0.25">
      <c r="A16" s="4" t="s">
        <v>13</v>
      </c>
    </row>
    <row r="17" spans="1:1" x14ac:dyDescent="0.25">
      <c r="A17" s="4" t="s">
        <v>14</v>
      </c>
    </row>
    <row r="18" spans="1:1" x14ac:dyDescent="0.25">
      <c r="A18" s="4" t="s">
        <v>15</v>
      </c>
    </row>
    <row r="19" spans="1:1" x14ac:dyDescent="0.25">
      <c r="A19" s="4" t="s">
        <v>4</v>
      </c>
    </row>
    <row r="20" spans="1:1" x14ac:dyDescent="0.25">
      <c r="A20" s="4" t="s">
        <v>16</v>
      </c>
    </row>
    <row r="21" spans="1:1" x14ac:dyDescent="0.25">
      <c r="A21" s="4" t="s">
        <v>17</v>
      </c>
    </row>
    <row r="22" spans="1:1" x14ac:dyDescent="0.25">
      <c r="A22" s="4" t="s">
        <v>18</v>
      </c>
    </row>
    <row r="23" spans="1:1" x14ac:dyDescent="0.25">
      <c r="A23" s="4" t="s">
        <v>19</v>
      </c>
    </row>
    <row r="24" spans="1:1" x14ac:dyDescent="0.25">
      <c r="A24" s="4" t="s">
        <v>20</v>
      </c>
    </row>
    <row r="25" spans="1:1" x14ac:dyDescent="0.25">
      <c r="A25" s="4" t="s">
        <v>21</v>
      </c>
    </row>
    <row r="26" spans="1:1" x14ac:dyDescent="0.25">
      <c r="A26" s="4" t="s">
        <v>22</v>
      </c>
    </row>
    <row r="27" spans="1:1" x14ac:dyDescent="0.25">
      <c r="A27" s="4" t="s">
        <v>23</v>
      </c>
    </row>
    <row r="28" spans="1:1" x14ac:dyDescent="0.25">
      <c r="A28" s="4" t="s">
        <v>4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 t="s">
        <v>27</v>
      </c>
    </row>
    <row r="33" spans="1:1" x14ac:dyDescent="0.25">
      <c r="A33" s="4" t="s">
        <v>28</v>
      </c>
    </row>
    <row r="34" spans="1:1" x14ac:dyDescent="0.25">
      <c r="A34" s="4" t="s">
        <v>29</v>
      </c>
    </row>
    <row r="35" spans="1:1" x14ac:dyDescent="0.25">
      <c r="A35" s="4" t="s">
        <v>4</v>
      </c>
    </row>
    <row r="36" spans="1:1" x14ac:dyDescent="0.25">
      <c r="A36" s="4" t="s">
        <v>30</v>
      </c>
    </row>
    <row r="37" spans="1:1" x14ac:dyDescent="0.25">
      <c r="A37" s="4" t="s">
        <v>31</v>
      </c>
    </row>
    <row r="38" spans="1:1" x14ac:dyDescent="0.25">
      <c r="A38" s="4" t="s">
        <v>32</v>
      </c>
    </row>
    <row r="39" spans="1:1" x14ac:dyDescent="0.25">
      <c r="A39" s="4" t="s">
        <v>33</v>
      </c>
    </row>
    <row r="40" spans="1:1" x14ac:dyDescent="0.25">
      <c r="A40" s="4" t="s">
        <v>4</v>
      </c>
    </row>
    <row r="41" spans="1:1" x14ac:dyDescent="0.25">
      <c r="A41" s="4" t="s">
        <v>34</v>
      </c>
    </row>
    <row r="42" spans="1:1" x14ac:dyDescent="0.25">
      <c r="A42" s="4" t="s">
        <v>35</v>
      </c>
    </row>
    <row r="43" spans="1:1" x14ac:dyDescent="0.25">
      <c r="A43" s="4" t="s">
        <v>4</v>
      </c>
    </row>
    <row r="44" spans="1:1" x14ac:dyDescent="0.25">
      <c r="A44" s="4" t="s">
        <v>36</v>
      </c>
    </row>
    <row r="45" spans="1:1" x14ac:dyDescent="0.25">
      <c r="A45" s="4" t="s">
        <v>37</v>
      </c>
    </row>
    <row r="46" spans="1:1" x14ac:dyDescent="0.25">
      <c r="A46" s="4" t="s">
        <v>38</v>
      </c>
    </row>
    <row r="47" spans="1:1" x14ac:dyDescent="0.25">
      <c r="A47" s="4" t="s">
        <v>39</v>
      </c>
    </row>
    <row r="48" spans="1:1" x14ac:dyDescent="0.25">
      <c r="A48" s="4" t="s">
        <v>40</v>
      </c>
    </row>
    <row r="49" spans="1:1" x14ac:dyDescent="0.25">
      <c r="A49" s="4" t="s">
        <v>4</v>
      </c>
    </row>
    <row r="50" spans="1:1" x14ac:dyDescent="0.25">
      <c r="A50" s="4" t="s">
        <v>41</v>
      </c>
    </row>
    <row r="51" spans="1:1" x14ac:dyDescent="0.25">
      <c r="A51" s="4" t="s">
        <v>42</v>
      </c>
    </row>
    <row r="52" spans="1:1" x14ac:dyDescent="0.25">
      <c r="A52" s="4" t="s">
        <v>43</v>
      </c>
    </row>
    <row r="53" spans="1:1" x14ac:dyDescent="0.25">
      <c r="A53" s="4" t="s">
        <v>4</v>
      </c>
    </row>
    <row r="54" spans="1:1" x14ac:dyDescent="0.25">
      <c r="A54" s="4" t="s">
        <v>44</v>
      </c>
    </row>
    <row r="55" spans="1:1" x14ac:dyDescent="0.25">
      <c r="A55" s="4" t="s">
        <v>45</v>
      </c>
    </row>
    <row r="56" spans="1:1" x14ac:dyDescent="0.25">
      <c r="A56" s="4" t="s">
        <v>4</v>
      </c>
    </row>
    <row r="57" spans="1:1" x14ac:dyDescent="0.25">
      <c r="A57" s="4" t="s">
        <v>46</v>
      </c>
    </row>
    <row r="58" spans="1:1" x14ac:dyDescent="0.25">
      <c r="A58" s="4" t="s">
        <v>47</v>
      </c>
    </row>
    <row r="59" spans="1:1" x14ac:dyDescent="0.25">
      <c r="A59" s="4" t="s">
        <v>4</v>
      </c>
    </row>
    <row r="60" spans="1:1" x14ac:dyDescent="0.25">
      <c r="A60" s="4" t="s">
        <v>48</v>
      </c>
    </row>
    <row r="61" spans="1:1" x14ac:dyDescent="0.25">
      <c r="A61" s="4" t="s">
        <v>49</v>
      </c>
    </row>
    <row r="62" spans="1:1" x14ac:dyDescent="0.25">
      <c r="A62" s="4" t="s">
        <v>50</v>
      </c>
    </row>
    <row r="63" spans="1:1" x14ac:dyDescent="0.25">
      <c r="A63" s="4" t="s">
        <v>51</v>
      </c>
    </row>
    <row r="64" spans="1:1" x14ac:dyDescent="0.25">
      <c r="A64" s="4" t="s">
        <v>52</v>
      </c>
    </row>
    <row r="65" spans="1:1" x14ac:dyDescent="0.25">
      <c r="A65" s="4" t="s">
        <v>53</v>
      </c>
    </row>
    <row r="66" spans="1:1" x14ac:dyDescent="0.25">
      <c r="A66" s="4" t="s">
        <v>4</v>
      </c>
    </row>
    <row r="67" spans="1:1" x14ac:dyDescent="0.25">
      <c r="A67" s="4" t="s">
        <v>54</v>
      </c>
    </row>
    <row r="68" spans="1:1" x14ac:dyDescent="0.25">
      <c r="A68" s="4" t="s">
        <v>55</v>
      </c>
    </row>
    <row r="69" spans="1:1" x14ac:dyDescent="0.25">
      <c r="A69" s="4" t="s">
        <v>56</v>
      </c>
    </row>
  </sheetData>
  <conditionalFormatting sqref="A14">
    <cfRule type="containsText" dxfId="0" priority="1">
      <formula>NOT(ISERROR(SEARCH("Cream",A14)))</formula>
    </cfRule>
  </conditionalFormatting>
  <conditionalFormatting sqref="A16">
    <cfRule type="containsText" dxfId="1" priority="1">
      <formula>NOT(ISERROR(SEARCH("Green",A16)))</formula>
    </cfRule>
  </conditionalFormatting>
  <conditionalFormatting sqref="A17">
    <cfRule type="containsText" dxfId="2" priority="1">
      <formula>NOT(ISERROR(SEARCH("Amber",A17)))</formula>
    </cfRule>
  </conditionalFormatting>
  <conditionalFormatting sqref="A18">
    <cfRule type="containsText" dxfId="3" priority="1">
      <formula>NOT(ISERROR(SEARCH("Red",A18)))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70" customWidth="1"/>
    <col min="3" max="3" width="50" customWidth="1"/>
  </cols>
  <sheetData>
    <row r="1" spans="1:1" x14ac:dyDescent="0.25">
      <c r="A1" s="1" t="s">
        <v>57</v>
      </c>
    </row>
    <row r="2" spans="1:1" x14ac:dyDescent="0.25">
      <c r="A2" s="2" t="s">
        <v>58</v>
      </c>
    </row>
    <row r="4" spans="1:3" x14ac:dyDescent="0.25">
      <c r="A4" s="3" t="s">
        <v>59</v>
      </c>
      <c r="B4" s="3" t="s">
        <v>60</v>
      </c>
      <c r="C4" s="3" t="s">
        <v>61</v>
      </c>
    </row>
    <row r="5" spans="1:3" x14ac:dyDescent="0.25">
      <c r="A5" s="4" t="s">
        <v>62</v>
      </c>
      <c r="B5" s="5" t="s">
        <v>63</v>
      </c>
      <c r="C5" s="4" t="s">
        <v>64</v>
      </c>
    </row>
    <row r="6" spans="1:3" x14ac:dyDescent="0.25">
      <c r="A6" s="4" t="s">
        <v>65</v>
      </c>
      <c r="B6" s="5" t="s">
        <v>66</v>
      </c>
      <c r="C6" s="4" t="s">
        <v>67</v>
      </c>
    </row>
    <row r="7" spans="1:3" x14ac:dyDescent="0.25">
      <c r="A7" s="4" t="s">
        <v>68</v>
      </c>
      <c r="B7" s="5" t="s">
        <v>69</v>
      </c>
      <c r="C7" s="4" t="s">
        <v>70</v>
      </c>
    </row>
    <row r="8" spans="1:3" x14ac:dyDescent="0.25">
      <c r="A8" s="4" t="s">
        <v>71</v>
      </c>
      <c r="B8" s="6">
        <v>6000</v>
      </c>
      <c r="C8" s="4" t="s">
        <v>72</v>
      </c>
    </row>
    <row r="9" spans="1:3" x14ac:dyDescent="0.25">
      <c r="A9" s="4" t="s">
        <v>73</v>
      </c>
      <c r="B9" s="7">
        <f>TODAY()</f>
      </c>
      <c r="C9" s="4" t="s">
        <v>74</v>
      </c>
    </row>
    <row r="10" spans="1:3" x14ac:dyDescent="0.25">
      <c r="A10" s="4" t="s">
        <v>75</v>
      </c>
      <c r="B10" s="5">
        <v>5</v>
      </c>
      <c r="C10" s="4" t="s">
        <v>76</v>
      </c>
    </row>
    <row r="11" spans="1:3" x14ac:dyDescent="0.25">
      <c r="A11" s="4" t="s">
        <v>77</v>
      </c>
      <c r="B11" s="5">
        <v>3</v>
      </c>
      <c r="C11" s="4" t="s">
        <v>78</v>
      </c>
    </row>
    <row r="12" spans="1:3" x14ac:dyDescent="0.25">
      <c r="A12" s="4" t="s">
        <v>79</v>
      </c>
      <c r="B12" s="5">
        <v>1</v>
      </c>
      <c r="C12" s="4" t="s">
        <v>78</v>
      </c>
    </row>
    <row r="13" spans="1:3" x14ac:dyDescent="0.25">
      <c r="A13" s="4" t="s">
        <v>80</v>
      </c>
      <c r="B13" s="5">
        <v>8</v>
      </c>
      <c r="C13" s="4" t="s">
        <v>78</v>
      </c>
    </row>
    <row r="14" spans="1:3" x14ac:dyDescent="0.25">
      <c r="A14" s="4" t="s">
        <v>81</v>
      </c>
      <c r="B14" s="5">
        <v>22</v>
      </c>
      <c r="C14" s="4" t="s">
        <v>78</v>
      </c>
    </row>
    <row r="15" spans="1:3" x14ac:dyDescent="0.25">
      <c r="A15" s="4" t="s">
        <v>82</v>
      </c>
      <c r="B15" s="5">
        <v>5</v>
      </c>
      <c r="C15" s="4" t="s">
        <v>83</v>
      </c>
    </row>
    <row r="16" spans="1:3" x14ac:dyDescent="0.25">
      <c r="A16" s="4" t="s">
        <v>84</v>
      </c>
      <c r="B16" s="5" t="s">
        <v>85</v>
      </c>
      <c r="C16" s="4" t="s">
        <v>86</v>
      </c>
    </row>
    <row r="17" spans="1:3" x14ac:dyDescent="0.25">
      <c r="A17" s="4" t="s">
        <v>87</v>
      </c>
      <c r="B17" s="5" t="s">
        <v>88</v>
      </c>
      <c r="C17" s="4" t="s">
        <v>89</v>
      </c>
    </row>
    <row r="18" spans="1:1" x14ac:dyDescent="0.25">
      <c r="A18" s="4" t="s">
        <v>4</v>
      </c>
    </row>
    <row r="19" spans="1:3" x14ac:dyDescent="0.25">
      <c r="A19" s="4" t="s">
        <v>90</v>
      </c>
      <c r="B19" s="5"/>
      <c r="C19" s="4" t="s">
        <v>91</v>
      </c>
    </row>
    <row r="20" spans="1:2" x14ac:dyDescent="0.25">
      <c r="A20" s="4" t="s">
        <v>92</v>
      </c>
      <c r="B20" s="8">
        <v>0.2</v>
      </c>
    </row>
    <row r="21" spans="1:2" x14ac:dyDescent="0.25">
      <c r="A21" s="4" t="s">
        <v>93</v>
      </c>
      <c r="B21" s="8">
        <v>0.5</v>
      </c>
    </row>
    <row r="22" spans="1:2" x14ac:dyDescent="0.25">
      <c r="A22" s="4" t="s">
        <v>94</v>
      </c>
      <c r="B22" s="8">
        <v>1</v>
      </c>
    </row>
    <row r="23" spans="1:2" x14ac:dyDescent="0.25">
      <c r="A23" s="4" t="s">
        <v>95</v>
      </c>
      <c r="B23" s="8">
        <v>1</v>
      </c>
    </row>
    <row r="24" spans="1:2" x14ac:dyDescent="0.25">
      <c r="A24" s="4" t="s">
        <v>96</v>
      </c>
      <c r="B24" s="8">
        <v>1</v>
      </c>
    </row>
    <row r="25" spans="1:2" x14ac:dyDescent="0.25">
      <c r="A25" s="4" t="s">
        <v>97</v>
      </c>
      <c r="B25" s="8">
        <v>0</v>
      </c>
    </row>
    <row r="26" spans="1:1" x14ac:dyDescent="0.25">
      <c r="A26" s="4" t="s">
        <v>4</v>
      </c>
    </row>
    <row r="27" spans="1:1" x14ac:dyDescent="0.25">
      <c r="A27" s="4" t="s">
        <v>98</v>
      </c>
    </row>
    <row r="28" spans="1:1" x14ac:dyDescent="0.25">
      <c r="A28" s="4" t="s">
        <v>99</v>
      </c>
    </row>
    <row r="29" spans="1:1" x14ac:dyDescent="0.25">
      <c r="A29" s="4" t="s">
        <v>4</v>
      </c>
    </row>
    <row r="30" spans="1:3" x14ac:dyDescent="0.25">
      <c r="A30" s="4" t="s">
        <v>100</v>
      </c>
      <c r="B30" s="5"/>
      <c r="C30" s="4" t="s">
        <v>101</v>
      </c>
    </row>
    <row r="31" spans="1:3" x14ac:dyDescent="0.25">
      <c r="A31" s="4" t="s">
        <v>102</v>
      </c>
      <c r="B31" s="5" t="s">
        <v>103</v>
      </c>
      <c r="C31" s="4" t="s">
        <v>104</v>
      </c>
    </row>
    <row r="32" spans="1:3" x14ac:dyDescent="0.25">
      <c r="A32" s="4" t="s">
        <v>105</v>
      </c>
      <c r="B32" s="5" t="s">
        <v>106</v>
      </c>
      <c r="C32" s="4" t="s">
        <v>107</v>
      </c>
    </row>
    <row r="33" spans="1:3" x14ac:dyDescent="0.25">
      <c r="A33" s="4" t="s">
        <v>108</v>
      </c>
      <c r="B33" s="5" t="s">
        <v>109</v>
      </c>
      <c r="C33" s="4" t="s">
        <v>104</v>
      </c>
    </row>
    <row r="34" spans="1:3" x14ac:dyDescent="0.25">
      <c r="A34" s="4" t="s">
        <v>110</v>
      </c>
      <c r="B34" s="5" t="s">
        <v>111</v>
      </c>
      <c r="C34" s="4" t="s">
        <v>107</v>
      </c>
    </row>
    <row r="35" spans="1:3" x14ac:dyDescent="0.25">
      <c r="A35" s="4" t="s">
        <v>112</v>
      </c>
      <c r="B35" s="5" t="s">
        <v>113</v>
      </c>
      <c r="C35" s="4" t="s">
        <v>104</v>
      </c>
    </row>
    <row r="36" spans="1:3" x14ac:dyDescent="0.25">
      <c r="A36" s="4" t="s">
        <v>114</v>
      </c>
      <c r="B36" s="5" t="s">
        <v>115</v>
      </c>
      <c r="C36" s="4" t="s">
        <v>107</v>
      </c>
    </row>
    <row r="37" spans="1:3" x14ac:dyDescent="0.25">
      <c r="A37" s="4" t="s">
        <v>116</v>
      </c>
      <c r="B37" s="5" t="s">
        <v>117</v>
      </c>
      <c r="C37" s="4" t="s">
        <v>104</v>
      </c>
    </row>
    <row r="38" spans="1:3" x14ac:dyDescent="0.25">
      <c r="A38" s="4" t="s">
        <v>118</v>
      </c>
      <c r="B38" s="5" t="s">
        <v>119</v>
      </c>
      <c r="C38" s="4" t="s">
        <v>120</v>
      </c>
    </row>
    <row r="39" spans="1:1" x14ac:dyDescent="0.25">
      <c r="A39" s="4" t="s">
        <v>4</v>
      </c>
    </row>
    <row r="40" spans="1:3" x14ac:dyDescent="0.25">
      <c r="A40" s="4" t="s">
        <v>121</v>
      </c>
      <c r="B40" s="5"/>
      <c r="C40" s="4">
        <f>CHOOSE(MONTH($B$9+$B$10),"Jan","Feb","Mar","Apr","May","Jun","Jul","Aug","Sep","Oct","Nov","Dec")&amp;" "&amp;DAY($B$9+$B$10)&amp;", "&amp;YEAR($B$9+$B$10)</f>
      </c>
    </row>
    <row r="41" spans="1:3" x14ac:dyDescent="0.25">
      <c r="A41" s="4" t="s">
        <v>122</v>
      </c>
      <c r="B41" s="5"/>
      <c r="C41" s="4">
        <f>$B$5&amp;IF($B$6="","",", "&amp;$B$6)</f>
      </c>
    </row>
    <row r="42" spans="1:3" x14ac:dyDescent="0.25">
      <c r="A42" s="4" t="s">
        <v>123</v>
      </c>
      <c r="B42" s="5"/>
      <c r="C42" s="4">
        <f>IF($B$16="Yes"," and add "&amp;$B$17&amp;" as set out in my terms","")</f>
      </c>
    </row>
  </sheetData>
  <dataValidations count="1">
    <dataValidation type="list" allowBlank="1" showInputMessage="1" prompt="Is a late fee written in your terms?" showErrorMessage="1" sqref="B16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15" customWidth="1"/>
    <col min="5" max="5" width="16" customWidth="1"/>
    <col min="6" max="9" width="13" customWidth="1"/>
    <col min="10" max="10" width="14" customWidth="1"/>
    <col min="11" max="11" width="18" customWidth="1"/>
  </cols>
  <sheetData>
    <row r="1" spans="1:1" x14ac:dyDescent="0.25">
      <c r="A1" s="1" t="s">
        <v>124</v>
      </c>
    </row>
    <row r="2" spans="1:1" x14ac:dyDescent="0.25">
      <c r="A2" s="2" t="s">
        <v>125</v>
      </c>
    </row>
    <row r="4" spans="1:11" x14ac:dyDescent="0.25">
      <c r="A4" s="3" t="s">
        <v>126</v>
      </c>
      <c r="B4" s="3" t="s">
        <v>127</v>
      </c>
      <c r="C4" s="3" t="s">
        <v>128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133</v>
      </c>
      <c r="I4" s="3" t="s">
        <v>134</v>
      </c>
      <c r="J4" s="3" t="s">
        <v>135</v>
      </c>
      <c r="K4" s="3" t="s">
        <v>136</v>
      </c>
    </row>
    <row r="5" spans="1:11" x14ac:dyDescent="0.25">
      <c r="A5" s="5" t="s">
        <v>137</v>
      </c>
      <c r="B5" s="5" t="s">
        <v>138</v>
      </c>
      <c r="C5" s="5" t="s">
        <v>139</v>
      </c>
      <c r="D5" s="5" t="s">
        <v>140</v>
      </c>
      <c r="E5" s="4">
        <f>IF(A5="","",IF(COUNTIF($A$5:$A$1000,A5)&gt;1,"Duplicate name",""))</f>
      </c>
      <c r="F5" s="9">
        <f>IF(A5="","",SUMIF(Invoices!$B$5:$B$1000,A5,Invoices!$E$5:$E$1000))</f>
      </c>
      <c r="G5" s="9">
        <f>IF(A5="","",SUMIF(Invoices!$B$5:$B$1000,A5,Invoices!$G$5:$G$1000))</f>
      </c>
      <c r="H5" s="9">
        <f>IF(A5="","",F5-G5)</f>
      </c>
      <c r="I5" s="9">
        <f>IF(A5="","",SUMIFS(Invoices!$J$5:$J$1000,Invoices!$B$5:$B$1000,A5,Invoices!$K$5:$K$1000,"Overdue"))</f>
      </c>
      <c r="J5" s="10">
        <f>IF(A5="","",IFERROR(AVERAGEIF(Invoices!$B$5:$B$1000,A5,Invoices!$M$5:$M$1000),"–"))</f>
      </c>
      <c r="K5" s="4">
        <f>IF(A5="","",IF(COUNTIFS(Invoices!$B$5:$B$1000,A5,Invoices!$L$5:$L$1000,"&gt;="&amp;Settings!$B$14)&gt;0,"Ask 50% deposit",""))</f>
      </c>
    </row>
    <row r="6" spans="1:11" x14ac:dyDescent="0.25">
      <c r="A6" s="5" t="s">
        <v>141</v>
      </c>
      <c r="B6" s="5" t="s">
        <v>142</v>
      </c>
      <c r="C6" s="5" t="s">
        <v>143</v>
      </c>
      <c r="D6" s="5" t="s">
        <v>144</v>
      </c>
      <c r="E6" s="4">
        <f>IF(A6="","",IF(COUNTIF($A$5:$A$1000,A6)&gt;1,"Duplicate name",""))</f>
      </c>
      <c r="F6" s="9">
        <f>IF(A6="","",SUMIF(Invoices!$B$5:$B$1000,A6,Invoices!$E$5:$E$1000))</f>
      </c>
      <c r="G6" s="9">
        <f>IF(A6="","",SUMIF(Invoices!$B$5:$B$1000,A6,Invoices!$G$5:$G$1000))</f>
      </c>
      <c r="H6" s="9">
        <f>IF(A6="","",F6-G6)</f>
      </c>
      <c r="I6" s="9">
        <f>IF(A6="","",SUMIFS(Invoices!$J$5:$J$1000,Invoices!$B$5:$B$1000,A6,Invoices!$K$5:$K$1000,"Overdue"))</f>
      </c>
      <c r="J6" s="10">
        <f>IF(A6="","",IFERROR(AVERAGEIF(Invoices!$B$5:$B$1000,A6,Invoices!$M$5:$M$1000),"–"))</f>
      </c>
      <c r="K6" s="4">
        <f>IF(A6="","",IF(COUNTIFS(Invoices!$B$5:$B$1000,A6,Invoices!$L$5:$L$1000,"&gt;="&amp;Settings!$B$14)&gt;0,"Ask 50% deposit",""))</f>
      </c>
    </row>
    <row r="7" spans="1:11" x14ac:dyDescent="0.25">
      <c r="A7" s="5" t="s">
        <v>145</v>
      </c>
      <c r="B7" s="5" t="s">
        <v>146</v>
      </c>
      <c r="C7" s="5" t="s">
        <v>147</v>
      </c>
      <c r="D7" s="5" t="s">
        <v>148</v>
      </c>
      <c r="E7" s="4">
        <f>IF(A7="","",IF(COUNTIF($A$5:$A$1000,A7)&gt;1,"Duplicate name",""))</f>
      </c>
      <c r="F7" s="9">
        <f>IF(A7="","",SUMIF(Invoices!$B$5:$B$1000,A7,Invoices!$E$5:$E$1000))</f>
      </c>
      <c r="G7" s="9">
        <f>IF(A7="","",SUMIF(Invoices!$B$5:$B$1000,A7,Invoices!$G$5:$G$1000))</f>
      </c>
      <c r="H7" s="9">
        <f>IF(A7="","",F7-G7)</f>
      </c>
      <c r="I7" s="9">
        <f>IF(A7="","",SUMIFS(Invoices!$J$5:$J$1000,Invoices!$B$5:$B$1000,A7,Invoices!$K$5:$K$1000,"Overdue"))</f>
      </c>
      <c r="J7" s="10">
        <f>IF(A7="","",IFERROR(AVERAGEIF(Invoices!$B$5:$B$1000,A7,Invoices!$M$5:$M$1000),"–"))</f>
      </c>
      <c r="K7" s="4">
        <f>IF(A7="","",IF(COUNTIFS(Invoices!$B$5:$B$1000,A7,Invoices!$L$5:$L$1000,"&gt;="&amp;Settings!$B$14)&gt;0,"Ask 50% deposit",""))</f>
      </c>
    </row>
    <row r="8" spans="1:11" x14ac:dyDescent="0.25">
      <c r="A8" s="5" t="s">
        <v>149</v>
      </c>
      <c r="B8" s="5" t="s">
        <v>150</v>
      </c>
      <c r="C8" s="5" t="s">
        <v>151</v>
      </c>
      <c r="D8" s="5" t="s">
        <v>140</v>
      </c>
      <c r="E8" s="4">
        <f>IF(A8="","",IF(COUNTIF($A$5:$A$1000,A8)&gt;1,"Duplicate name",""))</f>
      </c>
      <c r="F8" s="9">
        <f>IF(A8="","",SUMIF(Invoices!$B$5:$B$1000,A8,Invoices!$E$5:$E$1000))</f>
      </c>
      <c r="G8" s="9">
        <f>IF(A8="","",SUMIF(Invoices!$B$5:$B$1000,A8,Invoices!$G$5:$G$1000))</f>
      </c>
      <c r="H8" s="9">
        <f>IF(A8="","",F8-G8)</f>
      </c>
      <c r="I8" s="9">
        <f>IF(A8="","",SUMIFS(Invoices!$J$5:$J$1000,Invoices!$B$5:$B$1000,A8,Invoices!$K$5:$K$1000,"Overdue"))</f>
      </c>
      <c r="J8" s="10">
        <f>IF(A8="","",IFERROR(AVERAGEIF(Invoices!$B$5:$B$1000,A8,Invoices!$M$5:$M$1000),"–"))</f>
      </c>
      <c r="K8" s="4">
        <f>IF(A8="","",IF(COUNTIFS(Invoices!$B$5:$B$1000,A8,Invoices!$L$5:$L$1000,"&gt;="&amp;Settings!$B$14)&gt;0,"Ask 50% deposit",""))</f>
      </c>
    </row>
    <row r="9" spans="1:11" x14ac:dyDescent="0.25">
      <c r="A9" s="5" t="s">
        <v>152</v>
      </c>
      <c r="B9" s="5" t="s">
        <v>153</v>
      </c>
      <c r="C9" s="5" t="s">
        <v>154</v>
      </c>
      <c r="D9" s="5" t="s">
        <v>155</v>
      </c>
      <c r="E9" s="4">
        <f>IF(A9="","",IF(COUNTIF($A$5:$A$1000,A9)&gt;1,"Duplicate name",""))</f>
      </c>
      <c r="F9" s="9">
        <f>IF(A9="","",SUMIF(Invoices!$B$5:$B$1000,A9,Invoices!$E$5:$E$1000))</f>
      </c>
      <c r="G9" s="9">
        <f>IF(A9="","",SUMIF(Invoices!$B$5:$B$1000,A9,Invoices!$G$5:$G$1000))</f>
      </c>
      <c r="H9" s="9">
        <f>IF(A9="","",F9-G9)</f>
      </c>
      <c r="I9" s="9">
        <f>IF(A9="","",SUMIFS(Invoices!$J$5:$J$1000,Invoices!$B$5:$B$1000,A9,Invoices!$K$5:$K$1000,"Overdue"))</f>
      </c>
      <c r="J9" s="10">
        <f>IF(A9="","",IFERROR(AVERAGEIF(Invoices!$B$5:$B$1000,A9,Invoices!$M$5:$M$1000),"–"))</f>
      </c>
      <c r="K9" s="4">
        <f>IF(A9="","",IF(COUNTIFS(Invoices!$B$5:$B$1000,A9,Invoices!$L$5:$L$1000,"&gt;="&amp;Settings!$B$14)&gt;0,"Ask 50% deposit",""))</f>
      </c>
    </row>
    <row r="10" spans="1:11" x14ac:dyDescent="0.25">
      <c r="A10" s="5"/>
      <c r="B10" s="5"/>
      <c r="C10" s="5"/>
      <c r="D10" s="5"/>
      <c r="E10" s="4">
        <f>IF(A10="","",IF(COUNTIF($A$5:$A$1000,A10)&gt;1,"Duplicate name",""))</f>
      </c>
      <c r="F10" s="9">
        <f>IF(A10="","",SUMIF(Invoices!$B$5:$B$1000,A10,Invoices!$E$5:$E$1000))</f>
      </c>
      <c r="G10" s="9">
        <f>IF(A10="","",SUMIF(Invoices!$B$5:$B$1000,A10,Invoices!$G$5:$G$1000))</f>
      </c>
      <c r="H10" s="9">
        <f>IF(A10="","",F10-G10)</f>
      </c>
      <c r="I10" s="9">
        <f>IF(A10="","",SUMIFS(Invoices!$J$5:$J$1000,Invoices!$B$5:$B$1000,A10,Invoices!$K$5:$K$1000,"Overdue"))</f>
      </c>
      <c r="J10" s="10">
        <f>IF(A10="","",IFERROR(AVERAGEIF(Invoices!$B$5:$B$1000,A10,Invoices!$M$5:$M$1000),"–"))</f>
      </c>
      <c r="K10" s="4">
        <f>IF(A10="","",IF(COUNTIFS(Invoices!$B$5:$B$1000,A10,Invoices!$L$5:$L$1000,"&gt;="&amp;Settings!$B$14)&gt;0,"Ask 50% deposit",""))</f>
      </c>
    </row>
    <row r="11" spans="1:11" x14ac:dyDescent="0.25">
      <c r="A11" s="5"/>
      <c r="B11" s="5"/>
      <c r="C11" s="5"/>
      <c r="D11" s="5"/>
      <c r="E11" s="4">
        <f>IF(A11="","",IF(COUNTIF($A$5:$A$1000,A11)&gt;1,"Duplicate name",""))</f>
      </c>
      <c r="F11" s="9">
        <f>IF(A11="","",SUMIF(Invoices!$B$5:$B$1000,A11,Invoices!$E$5:$E$1000))</f>
      </c>
      <c r="G11" s="9">
        <f>IF(A11="","",SUMIF(Invoices!$B$5:$B$1000,A11,Invoices!$G$5:$G$1000))</f>
      </c>
      <c r="H11" s="9">
        <f>IF(A11="","",F11-G11)</f>
      </c>
      <c r="I11" s="9">
        <f>IF(A11="","",SUMIFS(Invoices!$J$5:$J$1000,Invoices!$B$5:$B$1000,A11,Invoices!$K$5:$K$1000,"Overdue"))</f>
      </c>
      <c r="J11" s="10">
        <f>IF(A11="","",IFERROR(AVERAGEIF(Invoices!$B$5:$B$1000,A11,Invoices!$M$5:$M$1000),"–"))</f>
      </c>
      <c r="K11" s="4">
        <f>IF(A11="","",IF(COUNTIFS(Invoices!$B$5:$B$1000,A11,Invoices!$L$5:$L$1000,"&gt;="&amp;Settings!$B$14)&gt;0,"Ask 50% deposit",""))</f>
      </c>
    </row>
    <row r="12" spans="1:11" x14ac:dyDescent="0.25">
      <c r="A12" s="5"/>
      <c r="B12" s="5"/>
      <c r="C12" s="5"/>
      <c r="D12" s="5"/>
      <c r="E12" s="4">
        <f>IF(A12="","",IF(COUNTIF($A$5:$A$1000,A12)&gt;1,"Duplicate name",""))</f>
      </c>
      <c r="F12" s="9">
        <f>IF(A12="","",SUMIF(Invoices!$B$5:$B$1000,A12,Invoices!$E$5:$E$1000))</f>
      </c>
      <c r="G12" s="9">
        <f>IF(A12="","",SUMIF(Invoices!$B$5:$B$1000,A12,Invoices!$G$5:$G$1000))</f>
      </c>
      <c r="H12" s="9">
        <f>IF(A12="","",F12-G12)</f>
      </c>
      <c r="I12" s="9">
        <f>IF(A12="","",SUMIFS(Invoices!$J$5:$J$1000,Invoices!$B$5:$B$1000,A12,Invoices!$K$5:$K$1000,"Overdue"))</f>
      </c>
      <c r="J12" s="10">
        <f>IF(A12="","",IFERROR(AVERAGEIF(Invoices!$B$5:$B$1000,A12,Invoices!$M$5:$M$1000),"–"))</f>
      </c>
      <c r="K12" s="4">
        <f>IF(A12="","",IF(COUNTIFS(Invoices!$B$5:$B$1000,A12,Invoices!$L$5:$L$1000,"&gt;="&amp;Settings!$B$14)&gt;0,"Ask 50% deposit",""))</f>
      </c>
    </row>
    <row r="13" spans="1:11" x14ac:dyDescent="0.25">
      <c r="A13" s="5"/>
      <c r="B13" s="5"/>
      <c r="C13" s="5"/>
      <c r="D13" s="5"/>
      <c r="E13" s="4">
        <f>IF(A13="","",IF(COUNTIF($A$5:$A$1000,A13)&gt;1,"Duplicate name",""))</f>
      </c>
      <c r="F13" s="9">
        <f>IF(A13="","",SUMIF(Invoices!$B$5:$B$1000,A13,Invoices!$E$5:$E$1000))</f>
      </c>
      <c r="G13" s="9">
        <f>IF(A13="","",SUMIF(Invoices!$B$5:$B$1000,A13,Invoices!$G$5:$G$1000))</f>
      </c>
      <c r="H13" s="9">
        <f>IF(A13="","",F13-G13)</f>
      </c>
      <c r="I13" s="9">
        <f>IF(A13="","",SUMIFS(Invoices!$J$5:$J$1000,Invoices!$B$5:$B$1000,A13,Invoices!$K$5:$K$1000,"Overdue"))</f>
      </c>
      <c r="J13" s="10">
        <f>IF(A13="","",IFERROR(AVERAGEIF(Invoices!$B$5:$B$1000,A13,Invoices!$M$5:$M$1000),"–"))</f>
      </c>
      <c r="K13" s="4">
        <f>IF(A13="","",IF(COUNTIFS(Invoices!$B$5:$B$1000,A13,Invoices!$L$5:$L$1000,"&gt;="&amp;Settings!$B$14)&gt;0,"Ask 50% deposit",""))</f>
      </c>
    </row>
    <row r="14" spans="1:11" x14ac:dyDescent="0.25">
      <c r="A14" s="5"/>
      <c r="B14" s="5"/>
      <c r="C14" s="5"/>
      <c r="D14" s="5"/>
      <c r="E14" s="4">
        <f>IF(A14="","",IF(COUNTIF($A$5:$A$1000,A14)&gt;1,"Duplicate name",""))</f>
      </c>
      <c r="F14" s="9">
        <f>IF(A14="","",SUMIF(Invoices!$B$5:$B$1000,A14,Invoices!$E$5:$E$1000))</f>
      </c>
      <c r="G14" s="9">
        <f>IF(A14="","",SUMIF(Invoices!$B$5:$B$1000,A14,Invoices!$G$5:$G$1000))</f>
      </c>
      <c r="H14" s="9">
        <f>IF(A14="","",F14-G14)</f>
      </c>
      <c r="I14" s="9">
        <f>IF(A14="","",SUMIFS(Invoices!$J$5:$J$1000,Invoices!$B$5:$B$1000,A14,Invoices!$K$5:$K$1000,"Overdue"))</f>
      </c>
      <c r="J14" s="10">
        <f>IF(A14="","",IFERROR(AVERAGEIF(Invoices!$B$5:$B$1000,A14,Invoices!$M$5:$M$1000),"–"))</f>
      </c>
      <c r="K14" s="4">
        <f>IF(A14="","",IF(COUNTIFS(Invoices!$B$5:$B$1000,A14,Invoices!$L$5:$L$1000,"&gt;="&amp;Settings!$B$14)&gt;0,"Ask 50% deposit",""))</f>
      </c>
    </row>
    <row r="15" spans="1:11" x14ac:dyDescent="0.25">
      <c r="A15" s="5"/>
      <c r="B15" s="5"/>
      <c r="C15" s="5"/>
      <c r="D15" s="5"/>
      <c r="E15" s="4">
        <f>IF(A15="","",IF(COUNTIF($A$5:$A$1000,A15)&gt;1,"Duplicate name",""))</f>
      </c>
      <c r="F15" s="9">
        <f>IF(A15="","",SUMIF(Invoices!$B$5:$B$1000,A15,Invoices!$E$5:$E$1000))</f>
      </c>
      <c r="G15" s="9">
        <f>IF(A15="","",SUMIF(Invoices!$B$5:$B$1000,A15,Invoices!$G$5:$G$1000))</f>
      </c>
      <c r="H15" s="9">
        <f>IF(A15="","",F15-G15)</f>
      </c>
      <c r="I15" s="9">
        <f>IF(A15="","",SUMIFS(Invoices!$J$5:$J$1000,Invoices!$B$5:$B$1000,A15,Invoices!$K$5:$K$1000,"Overdue"))</f>
      </c>
      <c r="J15" s="10">
        <f>IF(A15="","",IFERROR(AVERAGEIF(Invoices!$B$5:$B$1000,A15,Invoices!$M$5:$M$1000),"–"))</f>
      </c>
      <c r="K15" s="4">
        <f>IF(A15="","",IF(COUNTIFS(Invoices!$B$5:$B$1000,A15,Invoices!$L$5:$L$1000,"&gt;="&amp;Settings!$B$14)&gt;0,"Ask 50% deposit",""))</f>
      </c>
    </row>
    <row r="16" spans="1:11" x14ac:dyDescent="0.25">
      <c r="A16" s="5"/>
      <c r="B16" s="5"/>
      <c r="C16" s="5"/>
      <c r="D16" s="5"/>
      <c r="E16" s="4">
        <f>IF(A16="","",IF(COUNTIF($A$5:$A$1000,A16)&gt;1,"Duplicate name",""))</f>
      </c>
      <c r="F16" s="9">
        <f>IF(A16="","",SUMIF(Invoices!$B$5:$B$1000,A16,Invoices!$E$5:$E$1000))</f>
      </c>
      <c r="G16" s="9">
        <f>IF(A16="","",SUMIF(Invoices!$B$5:$B$1000,A16,Invoices!$G$5:$G$1000))</f>
      </c>
      <c r="H16" s="9">
        <f>IF(A16="","",F16-G16)</f>
      </c>
      <c r="I16" s="9">
        <f>IF(A16="","",SUMIFS(Invoices!$J$5:$J$1000,Invoices!$B$5:$B$1000,A16,Invoices!$K$5:$K$1000,"Overdue"))</f>
      </c>
      <c r="J16" s="10">
        <f>IF(A16="","",IFERROR(AVERAGEIF(Invoices!$B$5:$B$1000,A16,Invoices!$M$5:$M$1000),"–"))</f>
      </c>
      <c r="K16" s="4">
        <f>IF(A16="","",IF(COUNTIFS(Invoices!$B$5:$B$1000,A16,Invoices!$L$5:$L$1000,"&gt;="&amp;Settings!$B$14)&gt;0,"Ask 50% deposit",""))</f>
      </c>
    </row>
    <row r="17" spans="1:11" x14ac:dyDescent="0.25">
      <c r="A17" s="5"/>
      <c r="B17" s="5"/>
      <c r="C17" s="5"/>
      <c r="D17" s="5"/>
      <c r="E17" s="4">
        <f>IF(A17="","",IF(COUNTIF($A$5:$A$1000,A17)&gt;1,"Duplicate name",""))</f>
      </c>
      <c r="F17" s="9">
        <f>IF(A17="","",SUMIF(Invoices!$B$5:$B$1000,A17,Invoices!$E$5:$E$1000))</f>
      </c>
      <c r="G17" s="9">
        <f>IF(A17="","",SUMIF(Invoices!$B$5:$B$1000,A17,Invoices!$G$5:$G$1000))</f>
      </c>
      <c r="H17" s="9">
        <f>IF(A17="","",F17-G17)</f>
      </c>
      <c r="I17" s="9">
        <f>IF(A17="","",SUMIFS(Invoices!$J$5:$J$1000,Invoices!$B$5:$B$1000,A17,Invoices!$K$5:$K$1000,"Overdue"))</f>
      </c>
      <c r="J17" s="10">
        <f>IF(A17="","",IFERROR(AVERAGEIF(Invoices!$B$5:$B$1000,A17,Invoices!$M$5:$M$1000),"–"))</f>
      </c>
      <c r="K17" s="4">
        <f>IF(A17="","",IF(COUNTIFS(Invoices!$B$5:$B$1000,A17,Invoices!$L$5:$L$1000,"&gt;="&amp;Settings!$B$14)&gt;0,"Ask 50% deposit",""))</f>
      </c>
    </row>
    <row r="18" spans="1:11" x14ac:dyDescent="0.25">
      <c r="A18" s="5"/>
      <c r="B18" s="5"/>
      <c r="C18" s="5"/>
      <c r="D18" s="5"/>
      <c r="E18" s="4">
        <f>IF(A18="","",IF(COUNTIF($A$5:$A$1000,A18)&gt;1,"Duplicate name",""))</f>
      </c>
      <c r="F18" s="9">
        <f>IF(A18="","",SUMIF(Invoices!$B$5:$B$1000,A18,Invoices!$E$5:$E$1000))</f>
      </c>
      <c r="G18" s="9">
        <f>IF(A18="","",SUMIF(Invoices!$B$5:$B$1000,A18,Invoices!$G$5:$G$1000))</f>
      </c>
      <c r="H18" s="9">
        <f>IF(A18="","",F18-G18)</f>
      </c>
      <c r="I18" s="9">
        <f>IF(A18="","",SUMIFS(Invoices!$J$5:$J$1000,Invoices!$B$5:$B$1000,A18,Invoices!$K$5:$K$1000,"Overdue"))</f>
      </c>
      <c r="J18" s="10">
        <f>IF(A18="","",IFERROR(AVERAGEIF(Invoices!$B$5:$B$1000,A18,Invoices!$M$5:$M$1000),"–"))</f>
      </c>
      <c r="K18" s="4">
        <f>IF(A18="","",IF(COUNTIFS(Invoices!$B$5:$B$1000,A18,Invoices!$L$5:$L$1000,"&gt;="&amp;Settings!$B$14)&gt;0,"Ask 50% deposit",""))</f>
      </c>
    </row>
    <row r="19" spans="1:11" x14ac:dyDescent="0.25">
      <c r="A19" s="5"/>
      <c r="B19" s="5"/>
      <c r="C19" s="5"/>
      <c r="D19" s="5"/>
      <c r="E19" s="4">
        <f>IF(A19="","",IF(COUNTIF($A$5:$A$1000,A19)&gt;1,"Duplicate name",""))</f>
      </c>
      <c r="F19" s="9">
        <f>IF(A19="","",SUMIF(Invoices!$B$5:$B$1000,A19,Invoices!$E$5:$E$1000))</f>
      </c>
      <c r="G19" s="9">
        <f>IF(A19="","",SUMIF(Invoices!$B$5:$B$1000,A19,Invoices!$G$5:$G$1000))</f>
      </c>
      <c r="H19" s="9">
        <f>IF(A19="","",F19-G19)</f>
      </c>
      <c r="I19" s="9">
        <f>IF(A19="","",SUMIFS(Invoices!$J$5:$J$1000,Invoices!$B$5:$B$1000,A19,Invoices!$K$5:$K$1000,"Overdue"))</f>
      </c>
      <c r="J19" s="10">
        <f>IF(A19="","",IFERROR(AVERAGEIF(Invoices!$B$5:$B$1000,A19,Invoices!$M$5:$M$1000),"–"))</f>
      </c>
      <c r="K19" s="4">
        <f>IF(A19="","",IF(COUNTIFS(Invoices!$B$5:$B$1000,A19,Invoices!$L$5:$L$1000,"&gt;="&amp;Settings!$B$14)&gt;0,"Ask 50% deposit",""))</f>
      </c>
    </row>
    <row r="20" spans="1:11" x14ac:dyDescent="0.25">
      <c r="A20" s="5"/>
      <c r="B20" s="5"/>
      <c r="C20" s="5"/>
      <c r="D20" s="5"/>
      <c r="E20" s="4">
        <f>IF(A20="","",IF(COUNTIF($A$5:$A$1000,A20)&gt;1,"Duplicate name",""))</f>
      </c>
      <c r="F20" s="9">
        <f>IF(A20="","",SUMIF(Invoices!$B$5:$B$1000,A20,Invoices!$E$5:$E$1000))</f>
      </c>
      <c r="G20" s="9">
        <f>IF(A20="","",SUMIF(Invoices!$B$5:$B$1000,A20,Invoices!$G$5:$G$1000))</f>
      </c>
      <c r="H20" s="9">
        <f>IF(A20="","",F20-G20)</f>
      </c>
      <c r="I20" s="9">
        <f>IF(A20="","",SUMIFS(Invoices!$J$5:$J$1000,Invoices!$B$5:$B$1000,A20,Invoices!$K$5:$K$1000,"Overdue"))</f>
      </c>
      <c r="J20" s="10">
        <f>IF(A20="","",IFERROR(AVERAGEIF(Invoices!$B$5:$B$1000,A20,Invoices!$M$5:$M$1000),"–"))</f>
      </c>
      <c r="K20" s="4">
        <f>IF(A20="","",IF(COUNTIFS(Invoices!$B$5:$B$1000,A20,Invoices!$L$5:$L$1000,"&gt;="&amp;Settings!$B$14)&gt;0,"Ask 50% deposit",""))</f>
      </c>
    </row>
    <row r="21" spans="1:11" x14ac:dyDescent="0.25">
      <c r="A21" s="5"/>
      <c r="B21" s="5"/>
      <c r="C21" s="5"/>
      <c r="D21" s="5"/>
      <c r="E21" s="4">
        <f>IF(A21="","",IF(COUNTIF($A$5:$A$1000,A21)&gt;1,"Duplicate name",""))</f>
      </c>
      <c r="F21" s="9">
        <f>IF(A21="","",SUMIF(Invoices!$B$5:$B$1000,A21,Invoices!$E$5:$E$1000))</f>
      </c>
      <c r="G21" s="9">
        <f>IF(A21="","",SUMIF(Invoices!$B$5:$B$1000,A21,Invoices!$G$5:$G$1000))</f>
      </c>
      <c r="H21" s="9">
        <f>IF(A21="","",F21-G21)</f>
      </c>
      <c r="I21" s="9">
        <f>IF(A21="","",SUMIFS(Invoices!$J$5:$J$1000,Invoices!$B$5:$B$1000,A21,Invoices!$K$5:$K$1000,"Overdue"))</f>
      </c>
      <c r="J21" s="10">
        <f>IF(A21="","",IFERROR(AVERAGEIF(Invoices!$B$5:$B$1000,A21,Invoices!$M$5:$M$1000),"–"))</f>
      </c>
      <c r="K21" s="4">
        <f>IF(A21="","",IF(COUNTIFS(Invoices!$B$5:$B$1000,A21,Invoices!$L$5:$L$1000,"&gt;="&amp;Settings!$B$14)&gt;0,"Ask 50% deposit",""))</f>
      </c>
    </row>
    <row r="22" spans="1:11" x14ac:dyDescent="0.25">
      <c r="A22" s="5"/>
      <c r="B22" s="5"/>
      <c r="C22" s="5"/>
      <c r="D22" s="5"/>
      <c r="E22" s="4">
        <f>IF(A22="","",IF(COUNTIF($A$5:$A$1000,A22)&gt;1,"Duplicate name",""))</f>
      </c>
      <c r="F22" s="9">
        <f>IF(A22="","",SUMIF(Invoices!$B$5:$B$1000,A22,Invoices!$E$5:$E$1000))</f>
      </c>
      <c r="G22" s="9">
        <f>IF(A22="","",SUMIF(Invoices!$B$5:$B$1000,A22,Invoices!$G$5:$G$1000))</f>
      </c>
      <c r="H22" s="9">
        <f>IF(A22="","",F22-G22)</f>
      </c>
      <c r="I22" s="9">
        <f>IF(A22="","",SUMIFS(Invoices!$J$5:$J$1000,Invoices!$B$5:$B$1000,A22,Invoices!$K$5:$K$1000,"Overdue"))</f>
      </c>
      <c r="J22" s="10">
        <f>IF(A22="","",IFERROR(AVERAGEIF(Invoices!$B$5:$B$1000,A22,Invoices!$M$5:$M$1000),"–"))</f>
      </c>
      <c r="K22" s="4">
        <f>IF(A22="","",IF(COUNTIFS(Invoices!$B$5:$B$1000,A22,Invoices!$L$5:$L$1000,"&gt;="&amp;Settings!$B$14)&gt;0,"Ask 50% deposit",""))</f>
      </c>
    </row>
    <row r="23" spans="1:11" x14ac:dyDescent="0.25">
      <c r="A23" s="5"/>
      <c r="B23" s="5"/>
      <c r="C23" s="5"/>
      <c r="D23" s="5"/>
      <c r="E23" s="4">
        <f>IF(A23="","",IF(COUNTIF($A$5:$A$1000,A23)&gt;1,"Duplicate name",""))</f>
      </c>
      <c r="F23" s="9">
        <f>IF(A23="","",SUMIF(Invoices!$B$5:$B$1000,A23,Invoices!$E$5:$E$1000))</f>
      </c>
      <c r="G23" s="9">
        <f>IF(A23="","",SUMIF(Invoices!$B$5:$B$1000,A23,Invoices!$G$5:$G$1000))</f>
      </c>
      <c r="H23" s="9">
        <f>IF(A23="","",F23-G23)</f>
      </c>
      <c r="I23" s="9">
        <f>IF(A23="","",SUMIFS(Invoices!$J$5:$J$1000,Invoices!$B$5:$B$1000,A23,Invoices!$K$5:$K$1000,"Overdue"))</f>
      </c>
      <c r="J23" s="10">
        <f>IF(A23="","",IFERROR(AVERAGEIF(Invoices!$B$5:$B$1000,A23,Invoices!$M$5:$M$1000),"–"))</f>
      </c>
      <c r="K23" s="4">
        <f>IF(A23="","",IF(COUNTIFS(Invoices!$B$5:$B$1000,A23,Invoices!$L$5:$L$1000,"&gt;="&amp;Settings!$B$14)&gt;0,"Ask 50% deposit",""))</f>
      </c>
    </row>
    <row r="24" spans="1:11" x14ac:dyDescent="0.25">
      <c r="A24" s="5"/>
      <c r="B24" s="5"/>
      <c r="C24" s="5"/>
      <c r="D24" s="5"/>
      <c r="E24" s="4">
        <f>IF(A24="","",IF(COUNTIF($A$5:$A$1000,A24)&gt;1,"Duplicate name",""))</f>
      </c>
      <c r="F24" s="9">
        <f>IF(A24="","",SUMIF(Invoices!$B$5:$B$1000,A24,Invoices!$E$5:$E$1000))</f>
      </c>
      <c r="G24" s="9">
        <f>IF(A24="","",SUMIF(Invoices!$B$5:$B$1000,A24,Invoices!$G$5:$G$1000))</f>
      </c>
      <c r="H24" s="9">
        <f>IF(A24="","",F24-G24)</f>
      </c>
      <c r="I24" s="9">
        <f>IF(A24="","",SUMIFS(Invoices!$J$5:$J$1000,Invoices!$B$5:$B$1000,A24,Invoices!$K$5:$K$1000,"Overdue"))</f>
      </c>
      <c r="J24" s="10">
        <f>IF(A24="","",IFERROR(AVERAGEIF(Invoices!$B$5:$B$1000,A24,Invoices!$M$5:$M$1000),"–"))</f>
      </c>
      <c r="K24" s="4">
        <f>IF(A24="","",IF(COUNTIFS(Invoices!$B$5:$B$1000,A24,Invoices!$L$5:$L$1000,"&gt;="&amp;Settings!$B$14)&gt;0,"Ask 50% deposit",""))</f>
      </c>
    </row>
    <row r="25" spans="1:11" x14ac:dyDescent="0.25">
      <c r="A25" s="5"/>
      <c r="B25" s="5"/>
      <c r="C25" s="5"/>
      <c r="D25" s="5"/>
      <c r="E25" s="4">
        <f>IF(A25="","",IF(COUNTIF($A$5:$A$1000,A25)&gt;1,"Duplicate name",""))</f>
      </c>
      <c r="F25" s="9">
        <f>IF(A25="","",SUMIF(Invoices!$B$5:$B$1000,A25,Invoices!$E$5:$E$1000))</f>
      </c>
      <c r="G25" s="9">
        <f>IF(A25="","",SUMIF(Invoices!$B$5:$B$1000,A25,Invoices!$G$5:$G$1000))</f>
      </c>
      <c r="H25" s="9">
        <f>IF(A25="","",F25-G25)</f>
      </c>
      <c r="I25" s="9">
        <f>IF(A25="","",SUMIFS(Invoices!$J$5:$J$1000,Invoices!$B$5:$B$1000,A25,Invoices!$K$5:$K$1000,"Overdue"))</f>
      </c>
      <c r="J25" s="10">
        <f>IF(A25="","",IFERROR(AVERAGEIF(Invoices!$B$5:$B$1000,A25,Invoices!$M$5:$M$1000),"–"))</f>
      </c>
      <c r="K25" s="4">
        <f>IF(A25="","",IF(COUNTIFS(Invoices!$B$5:$B$1000,A25,Invoices!$L$5:$L$1000,"&gt;="&amp;Settings!$B$14)&gt;0,"Ask 50% deposit",""))</f>
      </c>
    </row>
    <row r="26" spans="1:11" x14ac:dyDescent="0.25">
      <c r="A26" s="5"/>
      <c r="B26" s="5"/>
      <c r="C26" s="5"/>
      <c r="D26" s="5"/>
      <c r="E26" s="4">
        <f>IF(A26="","",IF(COUNTIF($A$5:$A$1000,A26)&gt;1,"Duplicate name",""))</f>
      </c>
      <c r="F26" s="9">
        <f>IF(A26="","",SUMIF(Invoices!$B$5:$B$1000,A26,Invoices!$E$5:$E$1000))</f>
      </c>
      <c r="G26" s="9">
        <f>IF(A26="","",SUMIF(Invoices!$B$5:$B$1000,A26,Invoices!$G$5:$G$1000))</f>
      </c>
      <c r="H26" s="9">
        <f>IF(A26="","",F26-G26)</f>
      </c>
      <c r="I26" s="9">
        <f>IF(A26="","",SUMIFS(Invoices!$J$5:$J$1000,Invoices!$B$5:$B$1000,A26,Invoices!$K$5:$K$1000,"Overdue"))</f>
      </c>
      <c r="J26" s="10">
        <f>IF(A26="","",IFERROR(AVERAGEIF(Invoices!$B$5:$B$1000,A26,Invoices!$M$5:$M$1000),"–"))</f>
      </c>
      <c r="K26" s="4">
        <f>IF(A26="","",IF(COUNTIFS(Invoices!$B$5:$B$1000,A26,Invoices!$L$5:$L$1000,"&gt;="&amp;Settings!$B$14)&gt;0,"Ask 50% deposit",""))</f>
      </c>
    </row>
    <row r="27" spans="1:11" x14ac:dyDescent="0.25">
      <c r="A27" s="5"/>
      <c r="B27" s="5"/>
      <c r="C27" s="5"/>
      <c r="D27" s="5"/>
      <c r="E27" s="4">
        <f>IF(A27="","",IF(COUNTIF($A$5:$A$1000,A27)&gt;1,"Duplicate name",""))</f>
      </c>
      <c r="F27" s="9">
        <f>IF(A27="","",SUMIF(Invoices!$B$5:$B$1000,A27,Invoices!$E$5:$E$1000))</f>
      </c>
      <c r="G27" s="9">
        <f>IF(A27="","",SUMIF(Invoices!$B$5:$B$1000,A27,Invoices!$G$5:$G$1000))</f>
      </c>
      <c r="H27" s="9">
        <f>IF(A27="","",F27-G27)</f>
      </c>
      <c r="I27" s="9">
        <f>IF(A27="","",SUMIFS(Invoices!$J$5:$J$1000,Invoices!$B$5:$B$1000,A27,Invoices!$K$5:$K$1000,"Overdue"))</f>
      </c>
      <c r="J27" s="10">
        <f>IF(A27="","",IFERROR(AVERAGEIF(Invoices!$B$5:$B$1000,A27,Invoices!$M$5:$M$1000),"–"))</f>
      </c>
      <c r="K27" s="4">
        <f>IF(A27="","",IF(COUNTIFS(Invoices!$B$5:$B$1000,A27,Invoices!$L$5:$L$1000,"&gt;="&amp;Settings!$B$14)&gt;0,"Ask 50% deposit",""))</f>
      </c>
    </row>
    <row r="28" spans="1:11" x14ac:dyDescent="0.25">
      <c r="A28" s="5"/>
      <c r="B28" s="5"/>
      <c r="C28" s="5"/>
      <c r="D28" s="5"/>
      <c r="E28" s="4">
        <f>IF(A28="","",IF(COUNTIF($A$5:$A$1000,A28)&gt;1,"Duplicate name",""))</f>
      </c>
      <c r="F28" s="9">
        <f>IF(A28="","",SUMIF(Invoices!$B$5:$B$1000,A28,Invoices!$E$5:$E$1000))</f>
      </c>
      <c r="G28" s="9">
        <f>IF(A28="","",SUMIF(Invoices!$B$5:$B$1000,A28,Invoices!$G$5:$G$1000))</f>
      </c>
      <c r="H28" s="9">
        <f>IF(A28="","",F28-G28)</f>
      </c>
      <c r="I28" s="9">
        <f>IF(A28="","",SUMIFS(Invoices!$J$5:$J$1000,Invoices!$B$5:$B$1000,A28,Invoices!$K$5:$K$1000,"Overdue"))</f>
      </c>
      <c r="J28" s="10">
        <f>IF(A28="","",IFERROR(AVERAGEIF(Invoices!$B$5:$B$1000,A28,Invoices!$M$5:$M$1000),"–"))</f>
      </c>
      <c r="K28" s="4">
        <f>IF(A28="","",IF(COUNTIFS(Invoices!$B$5:$B$1000,A28,Invoices!$L$5:$L$1000,"&gt;="&amp;Settings!$B$14)&gt;0,"Ask 50% deposit",""))</f>
      </c>
    </row>
    <row r="29" spans="1:11" x14ac:dyDescent="0.25">
      <c r="A29" s="5"/>
      <c r="B29" s="5"/>
      <c r="C29" s="5"/>
      <c r="D29" s="5"/>
      <c r="E29" s="4">
        <f>IF(A29="","",IF(COUNTIF($A$5:$A$1000,A29)&gt;1,"Duplicate name",""))</f>
      </c>
      <c r="F29" s="9">
        <f>IF(A29="","",SUMIF(Invoices!$B$5:$B$1000,A29,Invoices!$E$5:$E$1000))</f>
      </c>
      <c r="G29" s="9">
        <f>IF(A29="","",SUMIF(Invoices!$B$5:$B$1000,A29,Invoices!$G$5:$G$1000))</f>
      </c>
      <c r="H29" s="9">
        <f>IF(A29="","",F29-G29)</f>
      </c>
      <c r="I29" s="9">
        <f>IF(A29="","",SUMIFS(Invoices!$J$5:$J$1000,Invoices!$B$5:$B$1000,A29,Invoices!$K$5:$K$1000,"Overdue"))</f>
      </c>
      <c r="J29" s="10">
        <f>IF(A29="","",IFERROR(AVERAGEIF(Invoices!$B$5:$B$1000,A29,Invoices!$M$5:$M$1000),"–"))</f>
      </c>
      <c r="K29" s="4">
        <f>IF(A29="","",IF(COUNTIFS(Invoices!$B$5:$B$1000,A29,Invoices!$L$5:$L$1000,"&gt;="&amp;Settings!$B$14)&gt;0,"Ask 50% deposit",""))</f>
      </c>
    </row>
    <row r="30" spans="1:11" x14ac:dyDescent="0.25">
      <c r="A30" s="5"/>
      <c r="B30" s="5"/>
      <c r="C30" s="5"/>
      <c r="D30" s="5"/>
      <c r="E30" s="4">
        <f>IF(A30="","",IF(COUNTIF($A$5:$A$1000,A30)&gt;1,"Duplicate name",""))</f>
      </c>
      <c r="F30" s="9">
        <f>IF(A30="","",SUMIF(Invoices!$B$5:$B$1000,A30,Invoices!$E$5:$E$1000))</f>
      </c>
      <c r="G30" s="9">
        <f>IF(A30="","",SUMIF(Invoices!$B$5:$B$1000,A30,Invoices!$G$5:$G$1000))</f>
      </c>
      <c r="H30" s="9">
        <f>IF(A30="","",F30-G30)</f>
      </c>
      <c r="I30" s="9">
        <f>IF(A30="","",SUMIFS(Invoices!$J$5:$J$1000,Invoices!$B$5:$B$1000,A30,Invoices!$K$5:$K$1000,"Overdue"))</f>
      </c>
      <c r="J30" s="10">
        <f>IF(A30="","",IFERROR(AVERAGEIF(Invoices!$B$5:$B$1000,A30,Invoices!$M$5:$M$1000),"–"))</f>
      </c>
      <c r="K30" s="4">
        <f>IF(A30="","",IF(COUNTIFS(Invoices!$B$5:$B$1000,A30,Invoices!$L$5:$L$1000,"&gt;="&amp;Settings!$B$14)&gt;0,"Ask 50% deposit",""))</f>
      </c>
    </row>
    <row r="31" spans="1:11" x14ac:dyDescent="0.25">
      <c r="A31" s="5"/>
      <c r="B31" s="5"/>
      <c r="C31" s="5"/>
      <c r="D31" s="5"/>
      <c r="E31" s="4">
        <f>IF(A31="","",IF(COUNTIF($A$5:$A$1000,A31)&gt;1,"Duplicate name",""))</f>
      </c>
      <c r="F31" s="9">
        <f>IF(A31="","",SUMIF(Invoices!$B$5:$B$1000,A31,Invoices!$E$5:$E$1000))</f>
      </c>
      <c r="G31" s="9">
        <f>IF(A31="","",SUMIF(Invoices!$B$5:$B$1000,A31,Invoices!$G$5:$G$1000))</f>
      </c>
      <c r="H31" s="9">
        <f>IF(A31="","",F31-G31)</f>
      </c>
      <c r="I31" s="9">
        <f>IF(A31="","",SUMIFS(Invoices!$J$5:$J$1000,Invoices!$B$5:$B$1000,A31,Invoices!$K$5:$K$1000,"Overdue"))</f>
      </c>
      <c r="J31" s="10">
        <f>IF(A31="","",IFERROR(AVERAGEIF(Invoices!$B$5:$B$1000,A31,Invoices!$M$5:$M$1000),"–"))</f>
      </c>
      <c r="K31" s="4">
        <f>IF(A31="","",IF(COUNTIFS(Invoices!$B$5:$B$1000,A31,Invoices!$L$5:$L$1000,"&gt;="&amp;Settings!$B$14)&gt;0,"Ask 50% deposit",""))</f>
      </c>
    </row>
    <row r="32" spans="1:11" x14ac:dyDescent="0.25">
      <c r="A32" s="5"/>
      <c r="B32" s="5"/>
      <c r="C32" s="5"/>
      <c r="D32" s="5"/>
      <c r="E32" s="4">
        <f>IF(A32="","",IF(COUNTIF($A$5:$A$1000,A32)&gt;1,"Duplicate name",""))</f>
      </c>
      <c r="F32" s="9">
        <f>IF(A32="","",SUMIF(Invoices!$B$5:$B$1000,A32,Invoices!$E$5:$E$1000))</f>
      </c>
      <c r="G32" s="9">
        <f>IF(A32="","",SUMIF(Invoices!$B$5:$B$1000,A32,Invoices!$G$5:$G$1000))</f>
      </c>
      <c r="H32" s="9">
        <f>IF(A32="","",F32-G32)</f>
      </c>
      <c r="I32" s="9">
        <f>IF(A32="","",SUMIFS(Invoices!$J$5:$J$1000,Invoices!$B$5:$B$1000,A32,Invoices!$K$5:$K$1000,"Overdue"))</f>
      </c>
      <c r="J32" s="10">
        <f>IF(A32="","",IFERROR(AVERAGEIF(Invoices!$B$5:$B$1000,A32,Invoices!$M$5:$M$1000),"–"))</f>
      </c>
      <c r="K32" s="4">
        <f>IF(A32="","",IF(COUNTIFS(Invoices!$B$5:$B$1000,A32,Invoices!$L$5:$L$1000,"&gt;="&amp;Settings!$B$14)&gt;0,"Ask 50% deposit",""))</f>
      </c>
    </row>
    <row r="33" spans="1:11" x14ac:dyDescent="0.25">
      <c r="A33" s="5"/>
      <c r="B33" s="5"/>
      <c r="C33" s="5"/>
      <c r="D33" s="5"/>
      <c r="E33" s="4">
        <f>IF(A33="","",IF(COUNTIF($A$5:$A$1000,A33)&gt;1,"Duplicate name",""))</f>
      </c>
      <c r="F33" s="9">
        <f>IF(A33="","",SUMIF(Invoices!$B$5:$B$1000,A33,Invoices!$E$5:$E$1000))</f>
      </c>
      <c r="G33" s="9">
        <f>IF(A33="","",SUMIF(Invoices!$B$5:$B$1000,A33,Invoices!$G$5:$G$1000))</f>
      </c>
      <c r="H33" s="9">
        <f>IF(A33="","",F33-G33)</f>
      </c>
      <c r="I33" s="9">
        <f>IF(A33="","",SUMIFS(Invoices!$J$5:$J$1000,Invoices!$B$5:$B$1000,A33,Invoices!$K$5:$K$1000,"Overdue"))</f>
      </c>
      <c r="J33" s="10">
        <f>IF(A33="","",IFERROR(AVERAGEIF(Invoices!$B$5:$B$1000,A33,Invoices!$M$5:$M$1000),"–"))</f>
      </c>
      <c r="K33" s="4">
        <f>IF(A33="","",IF(COUNTIFS(Invoices!$B$5:$B$1000,A33,Invoices!$L$5:$L$1000,"&gt;="&amp;Settings!$B$14)&gt;0,"Ask 50% deposit",""))</f>
      </c>
    </row>
    <row r="34" spans="1:11" x14ac:dyDescent="0.25">
      <c r="A34" s="5"/>
      <c r="B34" s="5"/>
      <c r="C34" s="5"/>
      <c r="D34" s="5"/>
      <c r="E34" s="4">
        <f>IF(A34="","",IF(COUNTIF($A$5:$A$1000,A34)&gt;1,"Duplicate name",""))</f>
      </c>
      <c r="F34" s="9">
        <f>IF(A34="","",SUMIF(Invoices!$B$5:$B$1000,A34,Invoices!$E$5:$E$1000))</f>
      </c>
      <c r="G34" s="9">
        <f>IF(A34="","",SUMIF(Invoices!$B$5:$B$1000,A34,Invoices!$G$5:$G$1000))</f>
      </c>
      <c r="H34" s="9">
        <f>IF(A34="","",F34-G34)</f>
      </c>
      <c r="I34" s="9">
        <f>IF(A34="","",SUMIFS(Invoices!$J$5:$J$1000,Invoices!$B$5:$B$1000,A34,Invoices!$K$5:$K$1000,"Overdue"))</f>
      </c>
      <c r="J34" s="10">
        <f>IF(A34="","",IFERROR(AVERAGEIF(Invoices!$B$5:$B$1000,A34,Invoices!$M$5:$M$1000),"–"))</f>
      </c>
      <c r="K34" s="4">
        <f>IF(A34="","",IF(COUNTIFS(Invoices!$B$5:$B$1000,A34,Invoices!$L$5:$L$1000,"&gt;="&amp;Settings!$B$14)&gt;0,"Ask 50% deposit",""))</f>
      </c>
    </row>
  </sheetData>
  <conditionalFormatting sqref="E5:E1000">
    <cfRule type="containsText" dxfId="4" priority="1">
      <formula>NOT(ISERROR(SEARCH("Duplicate",E5)))</formula>
    </cfRule>
  </conditionalFormatting>
  <conditionalFormatting sqref="K5:K1000">
    <cfRule type="containsText" dxfId="5" priority="1">
      <formula>NOT(ISERROR(SEARCH("Ask 50%",K5)))</formula>
    </cfRule>
  </conditionalFormatting>
  <dataValidations count="2">
    <dataValidation type="list" allowBlank="1" showErrorMessage="1" sqref="D10:D34">
      <formula1>"Referral,Website,Upwork,LinkedIn,Repeat client,Other"</formula1>
    </dataValidation>
    <dataValidation type="list" allowBlank="1" showErrorMessage="1" sqref="D5:D34">
      <formula1>"Referral,Website,Upwork,LinkedIn,Repeat client,Other"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4" customWidth="1"/>
    <col min="4" max="4" width="12" customWidth="1"/>
    <col min="5" max="5" width="10" customWidth="1"/>
    <col min="6" max="6" width="12" customWidth="1"/>
    <col min="7" max="7" width="14" customWidth="1"/>
    <col min="8" max="8" width="15" customWidth="1"/>
    <col min="9" max="9" width="11" customWidth="1"/>
    <col min="10" max="10" width="14" customWidth="1"/>
    <col min="11" max="11" width="12" customWidth="1"/>
    <col min="12" max="12" width="13" customWidth="1"/>
    <col min="13" max="13" width="11" customWidth="1"/>
    <col min="14" max="14" width="12" customWidth="1"/>
    <col min="15" max="15" width="19" customWidth="1"/>
    <col min="16" max="16" width="15" customWidth="1"/>
  </cols>
  <sheetData>
    <row r="1" spans="1:1" x14ac:dyDescent="0.25">
      <c r="A1" s="1" t="s">
        <v>156</v>
      </c>
    </row>
    <row r="2" spans="1:1" x14ac:dyDescent="0.25">
      <c r="A2" s="2" t="s">
        <v>157</v>
      </c>
    </row>
    <row r="4" spans="1:16" x14ac:dyDescent="0.25">
      <c r="A4" s="3" t="s">
        <v>158</v>
      </c>
      <c r="B4" s="3" t="s">
        <v>159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93</v>
      </c>
      <c r="H4" s="3" t="s">
        <v>164</v>
      </c>
      <c r="I4" s="3" t="s">
        <v>165</v>
      </c>
      <c r="J4" s="3" t="s">
        <v>166</v>
      </c>
      <c r="K4" s="3" t="s">
        <v>167</v>
      </c>
      <c r="L4" s="3" t="s">
        <v>168</v>
      </c>
      <c r="M4" s="3" t="s">
        <v>169</v>
      </c>
      <c r="N4" s="3" t="s">
        <v>170</v>
      </c>
      <c r="O4" s="3" t="s">
        <v>171</v>
      </c>
      <c r="P4" s="3" t="s">
        <v>172</v>
      </c>
    </row>
    <row r="5" spans="1:16" x14ac:dyDescent="0.25">
      <c r="A5" s="5" t="s">
        <v>173</v>
      </c>
      <c r="B5" s="5" t="s">
        <v>137</v>
      </c>
      <c r="C5" s="5" t="s">
        <v>96</v>
      </c>
      <c r="D5" s="6">
        <v>4200</v>
      </c>
      <c r="E5" s="5">
        <v>45</v>
      </c>
      <c r="F5" s="5">
        <v>52</v>
      </c>
      <c r="G5" s="7"/>
      <c r="H5" s="4">
        <f>IF(B5="","",IF(COUNTIF(Clients!$A$5:$A$1000,B5)=0,"Not in Clients",""))</f>
      </c>
      <c r="I5" s="11">
        <f>IF(C5="","",IF(O5&lt;&gt;"",O5,IFERROR(VLOOKUP(C5,Settings!$A$20:$B$25,2,0),0)))</f>
      </c>
      <c r="J5" s="9">
        <f>IF(OR(C5="Lead",C5="Proposal sent"),D5*I5,"")</f>
      </c>
      <c r="K5" s="9">
        <f>IF(OR(D5="",E5="",E5=0),"",D5/E5)</f>
      </c>
      <c r="L5" s="9">
        <f>IF(C5&lt;&gt;"Done","",IF(OR(F5="",F5=0),"",D5/F5))</f>
      </c>
      <c r="M5" s="4">
        <f>IF(C5&lt;&gt;"Done","",IF(F5="","",F5-E5))</f>
      </c>
      <c r="N5" s="4">
        <f>IF(AND(C5="Proposal sent",G5&lt;&gt;""),IF(Settings!$B$9-G5&gt;=Settings!$B$15,"Follow up",""),"")</f>
      </c>
      <c r="O5" s="8"/>
      <c r="P5" s="7"/>
    </row>
    <row r="6" spans="1:16" x14ac:dyDescent="0.25">
      <c r="A6" s="5" t="s">
        <v>174</v>
      </c>
      <c r="B6" s="5" t="s">
        <v>141</v>
      </c>
      <c r="C6" s="5" t="s">
        <v>96</v>
      </c>
      <c r="D6" s="6">
        <v>3600</v>
      </c>
      <c r="E6" s="5">
        <v>36</v>
      </c>
      <c r="F6" s="5">
        <v>40</v>
      </c>
      <c r="G6" s="7"/>
      <c r="H6" s="4">
        <f>IF(B6="","",IF(COUNTIF(Clients!$A$5:$A$1000,B6)=0,"Not in Clients",""))</f>
      </c>
      <c r="I6" s="11">
        <f>IF(C6="","",IF(O6&lt;&gt;"",O6,IFERROR(VLOOKUP(C6,Settings!$A$20:$B$25,2,0),0)))</f>
      </c>
      <c r="J6" s="9">
        <f>IF(OR(C6="Lead",C6="Proposal sent"),D6*I6,"")</f>
      </c>
      <c r="K6" s="9">
        <f>IF(OR(D6="",E6="",E6=0),"",D6/E6)</f>
      </c>
      <c r="L6" s="9">
        <f>IF(C6&lt;&gt;"Done","",IF(OR(F6="",F6=0),"",D6/F6))</f>
      </c>
      <c r="M6" s="4">
        <f>IF(C6&lt;&gt;"Done","",IF(F6="","",F6-E6))</f>
      </c>
      <c r="N6" s="4">
        <f>IF(AND(C6="Proposal sent",G6&lt;&gt;""),IF(Settings!$B$9-G6&gt;=Settings!$B$15,"Follow up",""),"")</f>
      </c>
      <c r="O6" s="8"/>
      <c r="P6" s="7"/>
    </row>
    <row r="7" spans="1:16" x14ac:dyDescent="0.25">
      <c r="A7" s="5" t="s">
        <v>175</v>
      </c>
      <c r="B7" s="5" t="s">
        <v>145</v>
      </c>
      <c r="C7" s="5" t="s">
        <v>95</v>
      </c>
      <c r="D7" s="6">
        <v>2400</v>
      </c>
      <c r="E7" s="5">
        <v>24</v>
      </c>
      <c r="F7" s="5">
        <v>20</v>
      </c>
      <c r="G7" s="7"/>
      <c r="H7" s="4">
        <f>IF(B7="","",IF(COUNTIF(Clients!$A$5:$A$1000,B7)=0,"Not in Clients",""))</f>
      </c>
      <c r="I7" s="11">
        <f>IF(C7="","",IF(O7&lt;&gt;"",O7,IFERROR(VLOOKUP(C7,Settings!$A$20:$B$25,2,0),0)))</f>
      </c>
      <c r="J7" s="9">
        <f>IF(OR(C7="Lead",C7="Proposal sent"),D7*I7,"")</f>
      </c>
      <c r="K7" s="9">
        <f>IF(OR(D7="",E7="",E7=0),"",D7/E7)</f>
      </c>
      <c r="L7" s="9">
        <f>IF(C7&lt;&gt;"Done","",IF(OR(F7="",F7=0),"",D7/F7))</f>
      </c>
      <c r="M7" s="4">
        <f>IF(C7&lt;&gt;"Done","",IF(F7="","",F7-E7))</f>
      </c>
      <c r="N7" s="4">
        <f>IF(AND(C7="Proposal sent",G7&lt;&gt;""),IF(Settings!$B$9-G7&gt;=Settings!$B$15,"Follow up",""),"")</f>
      </c>
      <c r="O7" s="8"/>
      <c r="P7" s="7"/>
    </row>
    <row r="8" spans="1:16" x14ac:dyDescent="0.25">
      <c r="A8" s="5" t="s">
        <v>176</v>
      </c>
      <c r="B8" s="5" t="s">
        <v>149</v>
      </c>
      <c r="C8" s="5" t="s">
        <v>96</v>
      </c>
      <c r="D8" s="6">
        <v>1200</v>
      </c>
      <c r="E8" s="5">
        <v>12</v>
      </c>
      <c r="F8" s="5">
        <v>18</v>
      </c>
      <c r="G8" s="7"/>
      <c r="H8" s="4">
        <f>IF(B8="","",IF(COUNTIF(Clients!$A$5:$A$1000,B8)=0,"Not in Clients",""))</f>
      </c>
      <c r="I8" s="11">
        <f>IF(C8="","",IF(O8&lt;&gt;"",O8,IFERROR(VLOOKUP(C8,Settings!$A$20:$B$25,2,0),0)))</f>
      </c>
      <c r="J8" s="9">
        <f>IF(OR(C8="Lead",C8="Proposal sent"),D8*I8,"")</f>
      </c>
      <c r="K8" s="9">
        <f>IF(OR(D8="",E8="",E8=0),"",D8/E8)</f>
      </c>
      <c r="L8" s="9">
        <f>IF(C8&lt;&gt;"Done","",IF(OR(F8="",F8=0),"",D8/F8))</f>
      </c>
      <c r="M8" s="4">
        <f>IF(C8&lt;&gt;"Done","",IF(F8="","",F8-E8))</f>
      </c>
      <c r="N8" s="4">
        <f>IF(AND(C8="Proposal sent",G8&lt;&gt;""),IF(Settings!$B$9-G8&gt;=Settings!$B$15,"Follow up",""),"")</f>
      </c>
      <c r="O8" s="8"/>
      <c r="P8" s="7"/>
    </row>
    <row r="9" spans="1:16" x14ac:dyDescent="0.25">
      <c r="A9" s="5" t="s">
        <v>177</v>
      </c>
      <c r="B9" s="5" t="s">
        <v>152</v>
      </c>
      <c r="C9" s="5" t="s">
        <v>94</v>
      </c>
      <c r="D9" s="6">
        <v>1950</v>
      </c>
      <c r="E9" s="5">
        <v>20</v>
      </c>
      <c r="F9" s="5">
        <v>0</v>
      </c>
      <c r="G9" s="7"/>
      <c r="H9" s="4">
        <f>IF(B9="","",IF(COUNTIF(Clients!$A$5:$A$1000,B9)=0,"Not in Clients",""))</f>
      </c>
      <c r="I9" s="11">
        <f>IF(C9="","",IF(O9&lt;&gt;"",O9,IFERROR(VLOOKUP(C9,Settings!$A$20:$B$25,2,0),0)))</f>
      </c>
      <c r="J9" s="9">
        <f>IF(OR(C9="Lead",C9="Proposal sent"),D9*I9,"")</f>
      </c>
      <c r="K9" s="9">
        <f>IF(OR(D9="",E9="",E9=0),"",D9/E9)</f>
      </c>
      <c r="L9" s="9">
        <f>IF(C9&lt;&gt;"Done","",IF(OR(F9="",F9=0),"",D9/F9))</f>
      </c>
      <c r="M9" s="4">
        <f>IF(C9&lt;&gt;"Done","",IF(F9="","",F9-E9))</f>
      </c>
      <c r="N9" s="4">
        <f>IF(AND(C9="Proposal sent",G9&lt;&gt;""),IF(Settings!$B$9-G9&gt;=Settings!$B$15,"Follow up",""),"")</f>
      </c>
      <c r="O9" s="8"/>
      <c r="P9" s="7"/>
    </row>
    <row r="10" spans="1:16" x14ac:dyDescent="0.25">
      <c r="A10" s="5" t="s">
        <v>178</v>
      </c>
      <c r="B10" s="5" t="s">
        <v>137</v>
      </c>
      <c r="C10" s="5" t="s">
        <v>94</v>
      </c>
      <c r="D10" s="6">
        <v>6500</v>
      </c>
      <c r="E10" s="5">
        <v>65</v>
      </c>
      <c r="F10" s="5">
        <v>0</v>
      </c>
      <c r="G10" s="7"/>
      <c r="H10" s="4">
        <f>IF(B10="","",IF(COUNTIF(Clients!$A$5:$A$1000,B10)=0,"Not in Clients",""))</f>
      </c>
      <c r="I10" s="11">
        <f>IF(C10="","",IF(O10&lt;&gt;"",O10,IFERROR(VLOOKUP(C10,Settings!$A$20:$B$25,2,0),0)))</f>
      </c>
      <c r="J10" s="9">
        <f>IF(OR(C10="Lead",C10="Proposal sent"),D10*I10,"")</f>
      </c>
      <c r="K10" s="9">
        <f>IF(OR(D10="",E10="",E10=0),"",D10/E10)</f>
      </c>
      <c r="L10" s="9">
        <f>IF(C10&lt;&gt;"Done","",IF(OR(F10="",F10=0),"",D10/F10))</f>
      </c>
      <c r="M10" s="4">
        <f>IF(C10&lt;&gt;"Done","",IF(F10="","",F10-E10))</f>
      </c>
      <c r="N10" s="4">
        <f>IF(AND(C10="Proposal sent",G10&lt;&gt;""),IF(Settings!$B$9-G10&gt;=Settings!$B$15,"Follow up",""),"")</f>
      </c>
      <c r="O10" s="8"/>
      <c r="P10" s="7"/>
    </row>
    <row r="11" spans="1:16" x14ac:dyDescent="0.25">
      <c r="A11" s="5" t="s">
        <v>179</v>
      </c>
      <c r="B11" s="5" t="s">
        <v>141</v>
      </c>
      <c r="C11" s="5" t="s">
        <v>93</v>
      </c>
      <c r="D11" s="6">
        <v>3000</v>
      </c>
      <c r="E11" s="5">
        <v>30</v>
      </c>
      <c r="F11" s="5"/>
      <c r="G11" s="7">
        <f>Settings!$B$9-7</f>
      </c>
      <c r="H11" s="4">
        <f>IF(B11="","",IF(COUNTIF(Clients!$A$5:$A$1000,B11)=0,"Not in Clients",""))</f>
      </c>
      <c r="I11" s="11">
        <f>IF(C11="","",IF(O11&lt;&gt;"",O11,IFERROR(VLOOKUP(C11,Settings!$A$20:$B$25,2,0),0)))</f>
      </c>
      <c r="J11" s="9">
        <f>IF(OR(C11="Lead",C11="Proposal sent"),D11*I11,"")</f>
      </c>
      <c r="K11" s="9">
        <f>IF(OR(D11="",E11="",E11=0),"",D11/E11)</f>
      </c>
      <c r="L11" s="9">
        <f>IF(C11&lt;&gt;"Done","",IF(OR(F11="",F11=0),"",D11/F11))</f>
      </c>
      <c r="M11" s="4">
        <f>IF(C11&lt;&gt;"Done","",IF(F11="","",F11-E11))</f>
      </c>
      <c r="N11" s="4">
        <f>IF(AND(C11="Proposal sent",G11&lt;&gt;""),IF(Settings!$B$9-G11&gt;=Settings!$B$15,"Follow up",""),"")</f>
      </c>
      <c r="O11" s="8"/>
      <c r="P11" s="7">
        <f>DATE(YEAR(Settings!$B$9),MONTH(Settings!$B$9)+1,15)</f>
      </c>
    </row>
    <row r="12" spans="1:16" x14ac:dyDescent="0.25">
      <c r="A12" s="5" t="s">
        <v>180</v>
      </c>
      <c r="B12" s="5" t="s">
        <v>149</v>
      </c>
      <c r="C12" s="5" t="s">
        <v>92</v>
      </c>
      <c r="D12" s="6">
        <v>2000</v>
      </c>
      <c r="E12" s="5">
        <v>20</v>
      </c>
      <c r="F12" s="5"/>
      <c r="G12" s="7"/>
      <c r="H12" s="4">
        <f>IF(B12="","",IF(COUNTIF(Clients!$A$5:$A$1000,B12)=0,"Not in Clients",""))</f>
      </c>
      <c r="I12" s="11">
        <f>IF(C12="","",IF(O12&lt;&gt;"",O12,IFERROR(VLOOKUP(C12,Settings!$A$20:$B$25,2,0),0)))</f>
      </c>
      <c r="J12" s="9">
        <f>IF(OR(C12="Lead",C12="Proposal sent"),D12*I12,"")</f>
      </c>
      <c r="K12" s="9">
        <f>IF(OR(D12="",E12="",E12=0),"",D12/E12)</f>
      </c>
      <c r="L12" s="9">
        <f>IF(C12&lt;&gt;"Done","",IF(OR(F12="",F12=0),"",D12/F12))</f>
      </c>
      <c r="M12" s="4">
        <f>IF(C12&lt;&gt;"Done","",IF(F12="","",F12-E12))</f>
      </c>
      <c r="N12" s="4">
        <f>IF(AND(C12="Proposal sent",G12&lt;&gt;""),IF(Settings!$B$9-G12&gt;=Settings!$B$15,"Follow up",""),"")</f>
      </c>
      <c r="O12" s="8"/>
      <c r="P12" s="7">
        <f>DATE(YEAR(Settings!$B$9),MONTH(Settings!$B$9)+2,1)</f>
      </c>
    </row>
    <row r="13" spans="1:16" x14ac:dyDescent="0.25">
      <c r="A13" s="5" t="s">
        <v>181</v>
      </c>
      <c r="B13" s="5" t="s">
        <v>152</v>
      </c>
      <c r="C13" s="5" t="s">
        <v>97</v>
      </c>
      <c r="D13" s="6">
        <v>1800</v>
      </c>
      <c r="E13" s="5">
        <v>18</v>
      </c>
      <c r="F13" s="5"/>
      <c r="G13" s="7"/>
      <c r="H13" s="4">
        <f>IF(B13="","",IF(COUNTIF(Clients!$A$5:$A$1000,B13)=0,"Not in Clients",""))</f>
      </c>
      <c r="I13" s="11">
        <f>IF(C13="","",IF(O13&lt;&gt;"",O13,IFERROR(VLOOKUP(C13,Settings!$A$20:$B$25,2,0),0)))</f>
      </c>
      <c r="J13" s="9">
        <f>IF(OR(C13="Lead",C13="Proposal sent"),D13*I13,"")</f>
      </c>
      <c r="K13" s="9">
        <f>IF(OR(D13="",E13="",E13=0),"",D13/E13)</f>
      </c>
      <c r="L13" s="9">
        <f>IF(C13&lt;&gt;"Done","",IF(OR(F13="",F13=0),"",D13/F13))</f>
      </c>
      <c r="M13" s="4">
        <f>IF(C13&lt;&gt;"Done","",IF(F13="","",F13-E13))</f>
      </c>
      <c r="N13" s="4">
        <f>IF(AND(C13="Proposal sent",G13&lt;&gt;""),IF(Settings!$B$9-G13&gt;=Settings!$B$15,"Follow up",""),"")</f>
      </c>
      <c r="O13" s="8"/>
      <c r="P13" s="7"/>
    </row>
    <row r="14" spans="1:16" x14ac:dyDescent="0.25">
      <c r="A14" s="5"/>
      <c r="B14" s="5"/>
      <c r="C14" s="5"/>
      <c r="D14" s="6"/>
      <c r="E14" s="5"/>
      <c r="F14" s="5"/>
      <c r="G14" s="7"/>
      <c r="H14" s="4">
        <f>IF(B14="","",IF(COUNTIF(Clients!$A$5:$A$1000,B14)=0,"Not in Clients",""))</f>
      </c>
      <c r="I14" s="11">
        <f>IF(C14="","",IF(O14&lt;&gt;"",O14,IFERROR(VLOOKUP(C14,Settings!$A$20:$B$25,2,0),0)))</f>
      </c>
      <c r="J14" s="9">
        <f>IF(OR(C14="Lead",C14="Proposal sent"),D14*I14,"")</f>
      </c>
      <c r="K14" s="9">
        <f>IF(OR(D14="",E14="",E14=0),"",D14/E14)</f>
      </c>
      <c r="L14" s="9">
        <f>IF(C14&lt;&gt;"Done","",IF(OR(F14="",F14=0),"",D14/F14))</f>
      </c>
      <c r="M14" s="4">
        <f>IF(C14&lt;&gt;"Done","",IF(F14="","",F14-E14))</f>
      </c>
      <c r="N14" s="4">
        <f>IF(AND(C14="Proposal sent",G14&lt;&gt;""),IF(Settings!$B$9-G14&gt;=Settings!$B$15,"Follow up",""),"")</f>
      </c>
      <c r="O14" s="8"/>
      <c r="P14" s="7"/>
    </row>
    <row r="15" spans="1:16" x14ac:dyDescent="0.25">
      <c r="A15" s="5"/>
      <c r="B15" s="5"/>
      <c r="C15" s="5"/>
      <c r="D15" s="6"/>
      <c r="E15" s="5"/>
      <c r="F15" s="5"/>
      <c r="G15" s="7"/>
      <c r="H15" s="4">
        <f>IF(B15="","",IF(COUNTIF(Clients!$A$5:$A$1000,B15)=0,"Not in Clients",""))</f>
      </c>
      <c r="I15" s="11">
        <f>IF(C15="","",IF(O15&lt;&gt;"",O15,IFERROR(VLOOKUP(C15,Settings!$A$20:$B$25,2,0),0)))</f>
      </c>
      <c r="J15" s="9">
        <f>IF(OR(C15="Lead",C15="Proposal sent"),D15*I15,"")</f>
      </c>
      <c r="K15" s="9">
        <f>IF(OR(D15="",E15="",E15=0),"",D15/E15)</f>
      </c>
      <c r="L15" s="9">
        <f>IF(C15&lt;&gt;"Done","",IF(OR(F15="",F15=0),"",D15/F15))</f>
      </c>
      <c r="M15" s="4">
        <f>IF(C15&lt;&gt;"Done","",IF(F15="","",F15-E15))</f>
      </c>
      <c r="N15" s="4">
        <f>IF(AND(C15="Proposal sent",G15&lt;&gt;""),IF(Settings!$B$9-G15&gt;=Settings!$B$15,"Follow up",""),"")</f>
      </c>
      <c r="O15" s="8"/>
      <c r="P15" s="7"/>
    </row>
    <row r="16" spans="1:16" x14ac:dyDescent="0.25">
      <c r="A16" s="5"/>
      <c r="B16" s="5"/>
      <c r="C16" s="5"/>
      <c r="D16" s="6"/>
      <c r="E16" s="5"/>
      <c r="F16" s="5"/>
      <c r="G16" s="7"/>
      <c r="H16" s="4">
        <f>IF(B16="","",IF(COUNTIF(Clients!$A$5:$A$1000,B16)=0,"Not in Clients",""))</f>
      </c>
      <c r="I16" s="11">
        <f>IF(C16="","",IF(O16&lt;&gt;"",O16,IFERROR(VLOOKUP(C16,Settings!$A$20:$B$25,2,0),0)))</f>
      </c>
      <c r="J16" s="9">
        <f>IF(OR(C16="Lead",C16="Proposal sent"),D16*I16,"")</f>
      </c>
      <c r="K16" s="9">
        <f>IF(OR(D16="",E16="",E16=0),"",D16/E16)</f>
      </c>
      <c r="L16" s="9">
        <f>IF(C16&lt;&gt;"Done","",IF(OR(F16="",F16=0),"",D16/F16))</f>
      </c>
      <c r="M16" s="4">
        <f>IF(C16&lt;&gt;"Done","",IF(F16="","",F16-E16))</f>
      </c>
      <c r="N16" s="4">
        <f>IF(AND(C16="Proposal sent",G16&lt;&gt;""),IF(Settings!$B$9-G16&gt;=Settings!$B$15,"Follow up",""),"")</f>
      </c>
      <c r="O16" s="8"/>
      <c r="P16" s="7"/>
    </row>
    <row r="17" spans="1:16" x14ac:dyDescent="0.25">
      <c r="A17" s="5"/>
      <c r="B17" s="5"/>
      <c r="C17" s="5"/>
      <c r="D17" s="6"/>
      <c r="E17" s="5"/>
      <c r="F17" s="5"/>
      <c r="G17" s="7"/>
      <c r="H17" s="4">
        <f>IF(B17="","",IF(COUNTIF(Clients!$A$5:$A$1000,B17)=0,"Not in Clients",""))</f>
      </c>
      <c r="I17" s="11">
        <f>IF(C17="","",IF(O17&lt;&gt;"",O17,IFERROR(VLOOKUP(C17,Settings!$A$20:$B$25,2,0),0)))</f>
      </c>
      <c r="J17" s="9">
        <f>IF(OR(C17="Lead",C17="Proposal sent"),D17*I17,"")</f>
      </c>
      <c r="K17" s="9">
        <f>IF(OR(D17="",E17="",E17=0),"",D17/E17)</f>
      </c>
      <c r="L17" s="9">
        <f>IF(C17&lt;&gt;"Done","",IF(OR(F17="",F17=0),"",D17/F17))</f>
      </c>
      <c r="M17" s="4">
        <f>IF(C17&lt;&gt;"Done","",IF(F17="","",F17-E17))</f>
      </c>
      <c r="N17" s="4">
        <f>IF(AND(C17="Proposal sent",G17&lt;&gt;""),IF(Settings!$B$9-G17&gt;=Settings!$B$15,"Follow up",""),"")</f>
      </c>
      <c r="O17" s="8"/>
      <c r="P17" s="7"/>
    </row>
    <row r="18" spans="1:16" x14ac:dyDescent="0.25">
      <c r="A18" s="5"/>
      <c r="B18" s="5"/>
      <c r="C18" s="5"/>
      <c r="D18" s="6"/>
      <c r="E18" s="5"/>
      <c r="F18" s="5"/>
      <c r="G18" s="7"/>
      <c r="H18" s="4">
        <f>IF(B18="","",IF(COUNTIF(Clients!$A$5:$A$1000,B18)=0,"Not in Clients",""))</f>
      </c>
      <c r="I18" s="11">
        <f>IF(C18="","",IF(O18&lt;&gt;"",O18,IFERROR(VLOOKUP(C18,Settings!$A$20:$B$25,2,0),0)))</f>
      </c>
      <c r="J18" s="9">
        <f>IF(OR(C18="Lead",C18="Proposal sent"),D18*I18,"")</f>
      </c>
      <c r="K18" s="9">
        <f>IF(OR(D18="",E18="",E18=0),"",D18/E18)</f>
      </c>
      <c r="L18" s="9">
        <f>IF(C18&lt;&gt;"Done","",IF(OR(F18="",F18=0),"",D18/F18))</f>
      </c>
      <c r="M18" s="4">
        <f>IF(C18&lt;&gt;"Done","",IF(F18="","",F18-E18))</f>
      </c>
      <c r="N18" s="4">
        <f>IF(AND(C18="Proposal sent",G18&lt;&gt;""),IF(Settings!$B$9-G18&gt;=Settings!$B$15,"Follow up",""),"")</f>
      </c>
      <c r="O18" s="8"/>
      <c r="P18" s="7"/>
    </row>
    <row r="19" spans="1:16" x14ac:dyDescent="0.25">
      <c r="A19" s="5"/>
      <c r="B19" s="5"/>
      <c r="C19" s="5"/>
      <c r="D19" s="6"/>
      <c r="E19" s="5"/>
      <c r="F19" s="5"/>
      <c r="G19" s="7"/>
      <c r="H19" s="4">
        <f>IF(B19="","",IF(COUNTIF(Clients!$A$5:$A$1000,B19)=0,"Not in Clients",""))</f>
      </c>
      <c r="I19" s="11">
        <f>IF(C19="","",IF(O19&lt;&gt;"",O19,IFERROR(VLOOKUP(C19,Settings!$A$20:$B$25,2,0),0)))</f>
      </c>
      <c r="J19" s="9">
        <f>IF(OR(C19="Lead",C19="Proposal sent"),D19*I19,"")</f>
      </c>
      <c r="K19" s="9">
        <f>IF(OR(D19="",E19="",E19=0),"",D19/E19)</f>
      </c>
      <c r="L19" s="9">
        <f>IF(C19&lt;&gt;"Done","",IF(OR(F19="",F19=0),"",D19/F19))</f>
      </c>
      <c r="M19" s="4">
        <f>IF(C19&lt;&gt;"Done","",IF(F19="","",F19-E19))</f>
      </c>
      <c r="N19" s="4">
        <f>IF(AND(C19="Proposal sent",G19&lt;&gt;""),IF(Settings!$B$9-G19&gt;=Settings!$B$15,"Follow up",""),"")</f>
      </c>
      <c r="O19" s="8"/>
      <c r="P19" s="7"/>
    </row>
    <row r="20" spans="1:16" x14ac:dyDescent="0.25">
      <c r="A20" s="5"/>
      <c r="B20" s="5"/>
      <c r="C20" s="5"/>
      <c r="D20" s="6"/>
      <c r="E20" s="5"/>
      <c r="F20" s="5"/>
      <c r="G20" s="7"/>
      <c r="H20" s="4">
        <f>IF(B20="","",IF(COUNTIF(Clients!$A$5:$A$1000,B20)=0,"Not in Clients",""))</f>
      </c>
      <c r="I20" s="11">
        <f>IF(C20="","",IF(O20&lt;&gt;"",O20,IFERROR(VLOOKUP(C20,Settings!$A$20:$B$25,2,0),0)))</f>
      </c>
      <c r="J20" s="9">
        <f>IF(OR(C20="Lead",C20="Proposal sent"),D20*I20,"")</f>
      </c>
      <c r="K20" s="9">
        <f>IF(OR(D20="",E20="",E20=0),"",D20/E20)</f>
      </c>
      <c r="L20" s="9">
        <f>IF(C20&lt;&gt;"Done","",IF(OR(F20="",F20=0),"",D20/F20))</f>
      </c>
      <c r="M20" s="4">
        <f>IF(C20&lt;&gt;"Done","",IF(F20="","",F20-E20))</f>
      </c>
      <c r="N20" s="4">
        <f>IF(AND(C20="Proposal sent",G20&lt;&gt;""),IF(Settings!$B$9-G20&gt;=Settings!$B$15,"Follow up",""),"")</f>
      </c>
      <c r="O20" s="8"/>
      <c r="P20" s="7"/>
    </row>
    <row r="21" spans="1:16" x14ac:dyDescent="0.25">
      <c r="A21" s="5"/>
      <c r="B21" s="5"/>
      <c r="C21" s="5"/>
      <c r="D21" s="6"/>
      <c r="E21" s="5"/>
      <c r="F21" s="5"/>
      <c r="G21" s="7"/>
      <c r="H21" s="4">
        <f>IF(B21="","",IF(COUNTIF(Clients!$A$5:$A$1000,B21)=0,"Not in Clients",""))</f>
      </c>
      <c r="I21" s="11">
        <f>IF(C21="","",IF(O21&lt;&gt;"",O21,IFERROR(VLOOKUP(C21,Settings!$A$20:$B$25,2,0),0)))</f>
      </c>
      <c r="J21" s="9">
        <f>IF(OR(C21="Lead",C21="Proposal sent"),D21*I21,"")</f>
      </c>
      <c r="K21" s="9">
        <f>IF(OR(D21="",E21="",E21=0),"",D21/E21)</f>
      </c>
      <c r="L21" s="9">
        <f>IF(C21&lt;&gt;"Done","",IF(OR(F21="",F21=0),"",D21/F21))</f>
      </c>
      <c r="M21" s="4">
        <f>IF(C21&lt;&gt;"Done","",IF(F21="","",F21-E21))</f>
      </c>
      <c r="N21" s="4">
        <f>IF(AND(C21="Proposal sent",G21&lt;&gt;""),IF(Settings!$B$9-G21&gt;=Settings!$B$15,"Follow up",""),"")</f>
      </c>
      <c r="O21" s="8"/>
      <c r="P21" s="7"/>
    </row>
    <row r="22" spans="1:16" x14ac:dyDescent="0.25">
      <c r="A22" s="5"/>
      <c r="B22" s="5"/>
      <c r="C22" s="5"/>
      <c r="D22" s="6"/>
      <c r="E22" s="5"/>
      <c r="F22" s="5"/>
      <c r="G22" s="7"/>
      <c r="H22" s="4">
        <f>IF(B22="","",IF(COUNTIF(Clients!$A$5:$A$1000,B22)=0,"Not in Clients",""))</f>
      </c>
      <c r="I22" s="11">
        <f>IF(C22="","",IF(O22&lt;&gt;"",O22,IFERROR(VLOOKUP(C22,Settings!$A$20:$B$25,2,0),0)))</f>
      </c>
      <c r="J22" s="9">
        <f>IF(OR(C22="Lead",C22="Proposal sent"),D22*I22,"")</f>
      </c>
      <c r="K22" s="9">
        <f>IF(OR(D22="",E22="",E22=0),"",D22/E22)</f>
      </c>
      <c r="L22" s="9">
        <f>IF(C22&lt;&gt;"Done","",IF(OR(F22="",F22=0),"",D22/F22))</f>
      </c>
      <c r="M22" s="4">
        <f>IF(C22&lt;&gt;"Done","",IF(F22="","",F22-E22))</f>
      </c>
      <c r="N22" s="4">
        <f>IF(AND(C22="Proposal sent",G22&lt;&gt;""),IF(Settings!$B$9-G22&gt;=Settings!$B$15,"Follow up",""),"")</f>
      </c>
      <c r="O22" s="8"/>
      <c r="P22" s="7"/>
    </row>
    <row r="23" spans="1:16" x14ac:dyDescent="0.25">
      <c r="A23" s="5"/>
      <c r="B23" s="5"/>
      <c r="C23" s="5"/>
      <c r="D23" s="6"/>
      <c r="E23" s="5"/>
      <c r="F23" s="5"/>
      <c r="G23" s="7"/>
      <c r="H23" s="4">
        <f>IF(B23="","",IF(COUNTIF(Clients!$A$5:$A$1000,B23)=0,"Not in Clients",""))</f>
      </c>
      <c r="I23" s="11">
        <f>IF(C23="","",IF(O23&lt;&gt;"",O23,IFERROR(VLOOKUP(C23,Settings!$A$20:$B$25,2,0),0)))</f>
      </c>
      <c r="J23" s="9">
        <f>IF(OR(C23="Lead",C23="Proposal sent"),D23*I23,"")</f>
      </c>
      <c r="K23" s="9">
        <f>IF(OR(D23="",E23="",E23=0),"",D23/E23)</f>
      </c>
      <c r="L23" s="9">
        <f>IF(C23&lt;&gt;"Done","",IF(OR(F23="",F23=0),"",D23/F23))</f>
      </c>
      <c r="M23" s="4">
        <f>IF(C23&lt;&gt;"Done","",IF(F23="","",F23-E23))</f>
      </c>
      <c r="N23" s="4">
        <f>IF(AND(C23="Proposal sent",G23&lt;&gt;""),IF(Settings!$B$9-G23&gt;=Settings!$B$15,"Follow up",""),"")</f>
      </c>
      <c r="O23" s="8"/>
      <c r="P23" s="7"/>
    </row>
    <row r="24" spans="1:16" x14ac:dyDescent="0.25">
      <c r="A24" s="5"/>
      <c r="B24" s="5"/>
      <c r="C24" s="5"/>
      <c r="D24" s="6"/>
      <c r="E24" s="5"/>
      <c r="F24" s="5"/>
      <c r="G24" s="7"/>
      <c r="H24" s="4">
        <f>IF(B24="","",IF(COUNTIF(Clients!$A$5:$A$1000,B24)=0,"Not in Clients",""))</f>
      </c>
      <c r="I24" s="11">
        <f>IF(C24="","",IF(O24&lt;&gt;"",O24,IFERROR(VLOOKUP(C24,Settings!$A$20:$B$25,2,0),0)))</f>
      </c>
      <c r="J24" s="9">
        <f>IF(OR(C24="Lead",C24="Proposal sent"),D24*I24,"")</f>
      </c>
      <c r="K24" s="9">
        <f>IF(OR(D24="",E24="",E24=0),"",D24/E24)</f>
      </c>
      <c r="L24" s="9">
        <f>IF(C24&lt;&gt;"Done","",IF(OR(F24="",F24=0),"",D24/F24))</f>
      </c>
      <c r="M24" s="4">
        <f>IF(C24&lt;&gt;"Done","",IF(F24="","",F24-E24))</f>
      </c>
      <c r="N24" s="4">
        <f>IF(AND(C24="Proposal sent",G24&lt;&gt;""),IF(Settings!$B$9-G24&gt;=Settings!$B$15,"Follow up",""),"")</f>
      </c>
      <c r="O24" s="8"/>
      <c r="P24" s="7"/>
    </row>
    <row r="25" spans="1:16" x14ac:dyDescent="0.25">
      <c r="A25" s="5"/>
      <c r="B25" s="5"/>
      <c r="C25" s="5"/>
      <c r="D25" s="6"/>
      <c r="E25" s="5"/>
      <c r="F25" s="5"/>
      <c r="G25" s="7"/>
      <c r="H25" s="4">
        <f>IF(B25="","",IF(COUNTIF(Clients!$A$5:$A$1000,B25)=0,"Not in Clients",""))</f>
      </c>
      <c r="I25" s="11">
        <f>IF(C25="","",IF(O25&lt;&gt;"",O25,IFERROR(VLOOKUP(C25,Settings!$A$20:$B$25,2,0),0)))</f>
      </c>
      <c r="J25" s="9">
        <f>IF(OR(C25="Lead",C25="Proposal sent"),D25*I25,"")</f>
      </c>
      <c r="K25" s="9">
        <f>IF(OR(D25="",E25="",E25=0),"",D25/E25)</f>
      </c>
      <c r="L25" s="9">
        <f>IF(C25&lt;&gt;"Done","",IF(OR(F25="",F25=0),"",D25/F25))</f>
      </c>
      <c r="M25" s="4">
        <f>IF(C25&lt;&gt;"Done","",IF(F25="","",F25-E25))</f>
      </c>
      <c r="N25" s="4">
        <f>IF(AND(C25="Proposal sent",G25&lt;&gt;""),IF(Settings!$B$9-G25&gt;=Settings!$B$15,"Follow up",""),"")</f>
      </c>
      <c r="O25" s="8"/>
      <c r="P25" s="7"/>
    </row>
    <row r="26" spans="1:16" x14ac:dyDescent="0.25">
      <c r="A26" s="5"/>
      <c r="B26" s="5"/>
      <c r="C26" s="5"/>
      <c r="D26" s="6"/>
      <c r="E26" s="5"/>
      <c r="F26" s="5"/>
      <c r="G26" s="7"/>
      <c r="H26" s="4">
        <f>IF(B26="","",IF(COUNTIF(Clients!$A$5:$A$1000,B26)=0,"Not in Clients",""))</f>
      </c>
      <c r="I26" s="11">
        <f>IF(C26="","",IF(O26&lt;&gt;"",O26,IFERROR(VLOOKUP(C26,Settings!$A$20:$B$25,2,0),0)))</f>
      </c>
      <c r="J26" s="9">
        <f>IF(OR(C26="Lead",C26="Proposal sent"),D26*I26,"")</f>
      </c>
      <c r="K26" s="9">
        <f>IF(OR(D26="",E26="",E26=0),"",D26/E26)</f>
      </c>
      <c r="L26" s="9">
        <f>IF(C26&lt;&gt;"Done","",IF(OR(F26="",F26=0),"",D26/F26))</f>
      </c>
      <c r="M26" s="4">
        <f>IF(C26&lt;&gt;"Done","",IF(F26="","",F26-E26))</f>
      </c>
      <c r="N26" s="4">
        <f>IF(AND(C26="Proposal sent",G26&lt;&gt;""),IF(Settings!$B$9-G26&gt;=Settings!$B$15,"Follow up",""),"")</f>
      </c>
      <c r="O26" s="8"/>
      <c r="P26" s="7"/>
    </row>
    <row r="27" spans="1:16" x14ac:dyDescent="0.25">
      <c r="A27" s="5"/>
      <c r="B27" s="5"/>
      <c r="C27" s="5"/>
      <c r="D27" s="6"/>
      <c r="E27" s="5"/>
      <c r="F27" s="5"/>
      <c r="G27" s="7"/>
      <c r="H27" s="4">
        <f>IF(B27="","",IF(COUNTIF(Clients!$A$5:$A$1000,B27)=0,"Not in Clients",""))</f>
      </c>
      <c r="I27" s="11">
        <f>IF(C27="","",IF(O27&lt;&gt;"",O27,IFERROR(VLOOKUP(C27,Settings!$A$20:$B$25,2,0),0)))</f>
      </c>
      <c r="J27" s="9">
        <f>IF(OR(C27="Lead",C27="Proposal sent"),D27*I27,"")</f>
      </c>
      <c r="K27" s="9">
        <f>IF(OR(D27="",E27="",E27=0),"",D27/E27)</f>
      </c>
      <c r="L27" s="9">
        <f>IF(C27&lt;&gt;"Done","",IF(OR(F27="",F27=0),"",D27/F27))</f>
      </c>
      <c r="M27" s="4">
        <f>IF(C27&lt;&gt;"Done","",IF(F27="","",F27-E27))</f>
      </c>
      <c r="N27" s="4">
        <f>IF(AND(C27="Proposal sent",G27&lt;&gt;""),IF(Settings!$B$9-G27&gt;=Settings!$B$15,"Follow up",""),"")</f>
      </c>
      <c r="O27" s="8"/>
      <c r="P27" s="7"/>
    </row>
    <row r="28" spans="1:16" x14ac:dyDescent="0.25">
      <c r="A28" s="5"/>
      <c r="B28" s="5"/>
      <c r="C28" s="5"/>
      <c r="D28" s="6"/>
      <c r="E28" s="5"/>
      <c r="F28" s="5"/>
      <c r="G28" s="7"/>
      <c r="H28" s="4">
        <f>IF(B28="","",IF(COUNTIF(Clients!$A$5:$A$1000,B28)=0,"Not in Clients",""))</f>
      </c>
      <c r="I28" s="11">
        <f>IF(C28="","",IF(O28&lt;&gt;"",O28,IFERROR(VLOOKUP(C28,Settings!$A$20:$B$25,2,0),0)))</f>
      </c>
      <c r="J28" s="9">
        <f>IF(OR(C28="Lead",C28="Proposal sent"),D28*I28,"")</f>
      </c>
      <c r="K28" s="9">
        <f>IF(OR(D28="",E28="",E28=0),"",D28/E28)</f>
      </c>
      <c r="L28" s="9">
        <f>IF(C28&lt;&gt;"Done","",IF(OR(F28="",F28=0),"",D28/F28))</f>
      </c>
      <c r="M28" s="4">
        <f>IF(C28&lt;&gt;"Done","",IF(F28="","",F28-E28))</f>
      </c>
      <c r="N28" s="4">
        <f>IF(AND(C28="Proposal sent",G28&lt;&gt;""),IF(Settings!$B$9-G28&gt;=Settings!$B$15,"Follow up",""),"")</f>
      </c>
      <c r="O28" s="8"/>
      <c r="P28" s="7"/>
    </row>
    <row r="29" spans="1:16" x14ac:dyDescent="0.25">
      <c r="A29" s="5"/>
      <c r="B29" s="5"/>
      <c r="C29" s="5"/>
      <c r="D29" s="6"/>
      <c r="E29" s="5"/>
      <c r="F29" s="5"/>
      <c r="G29" s="7"/>
      <c r="H29" s="4">
        <f>IF(B29="","",IF(COUNTIF(Clients!$A$5:$A$1000,B29)=0,"Not in Clients",""))</f>
      </c>
      <c r="I29" s="11">
        <f>IF(C29="","",IF(O29&lt;&gt;"",O29,IFERROR(VLOOKUP(C29,Settings!$A$20:$B$25,2,0),0)))</f>
      </c>
      <c r="J29" s="9">
        <f>IF(OR(C29="Lead",C29="Proposal sent"),D29*I29,"")</f>
      </c>
      <c r="K29" s="9">
        <f>IF(OR(D29="",E29="",E29=0),"",D29/E29)</f>
      </c>
      <c r="L29" s="9">
        <f>IF(C29&lt;&gt;"Done","",IF(OR(F29="",F29=0),"",D29/F29))</f>
      </c>
      <c r="M29" s="4">
        <f>IF(C29&lt;&gt;"Done","",IF(F29="","",F29-E29))</f>
      </c>
      <c r="N29" s="4">
        <f>IF(AND(C29="Proposal sent",G29&lt;&gt;""),IF(Settings!$B$9-G29&gt;=Settings!$B$15,"Follow up",""),"")</f>
      </c>
      <c r="O29" s="8"/>
      <c r="P29" s="7"/>
    </row>
    <row r="30" spans="1:16" x14ac:dyDescent="0.25">
      <c r="A30" s="5"/>
      <c r="B30" s="5"/>
      <c r="C30" s="5"/>
      <c r="D30" s="6"/>
      <c r="E30" s="5"/>
      <c r="F30" s="5"/>
      <c r="G30" s="7"/>
      <c r="H30" s="4">
        <f>IF(B30="","",IF(COUNTIF(Clients!$A$5:$A$1000,B30)=0,"Not in Clients",""))</f>
      </c>
      <c r="I30" s="11">
        <f>IF(C30="","",IF(O30&lt;&gt;"",O30,IFERROR(VLOOKUP(C30,Settings!$A$20:$B$25,2,0),0)))</f>
      </c>
      <c r="J30" s="9">
        <f>IF(OR(C30="Lead",C30="Proposal sent"),D30*I30,"")</f>
      </c>
      <c r="K30" s="9">
        <f>IF(OR(D30="",E30="",E30=0),"",D30/E30)</f>
      </c>
      <c r="L30" s="9">
        <f>IF(C30&lt;&gt;"Done","",IF(OR(F30="",F30=0),"",D30/F30))</f>
      </c>
      <c r="M30" s="4">
        <f>IF(C30&lt;&gt;"Done","",IF(F30="","",F30-E30))</f>
      </c>
      <c r="N30" s="4">
        <f>IF(AND(C30="Proposal sent",G30&lt;&gt;""),IF(Settings!$B$9-G30&gt;=Settings!$B$15,"Follow up",""),"")</f>
      </c>
      <c r="O30" s="8"/>
      <c r="P30" s="7"/>
    </row>
    <row r="31" spans="1:16" x14ac:dyDescent="0.25">
      <c r="A31" s="5"/>
      <c r="B31" s="5"/>
      <c r="C31" s="5"/>
      <c r="D31" s="6"/>
      <c r="E31" s="5"/>
      <c r="F31" s="5"/>
      <c r="G31" s="7"/>
      <c r="H31" s="4">
        <f>IF(B31="","",IF(COUNTIF(Clients!$A$5:$A$1000,B31)=0,"Not in Clients",""))</f>
      </c>
      <c r="I31" s="11">
        <f>IF(C31="","",IF(O31&lt;&gt;"",O31,IFERROR(VLOOKUP(C31,Settings!$A$20:$B$25,2,0),0)))</f>
      </c>
      <c r="J31" s="9">
        <f>IF(OR(C31="Lead",C31="Proposal sent"),D31*I31,"")</f>
      </c>
      <c r="K31" s="9">
        <f>IF(OR(D31="",E31="",E31=0),"",D31/E31)</f>
      </c>
      <c r="L31" s="9">
        <f>IF(C31&lt;&gt;"Done","",IF(OR(F31="",F31=0),"",D31/F31))</f>
      </c>
      <c r="M31" s="4">
        <f>IF(C31&lt;&gt;"Done","",IF(F31="","",F31-E31))</f>
      </c>
      <c r="N31" s="4">
        <f>IF(AND(C31="Proposal sent",G31&lt;&gt;""),IF(Settings!$B$9-G31&gt;=Settings!$B$15,"Follow up",""),"")</f>
      </c>
      <c r="O31" s="8"/>
      <c r="P31" s="7"/>
    </row>
    <row r="32" spans="1:16" x14ac:dyDescent="0.25">
      <c r="A32" s="5"/>
      <c r="B32" s="5"/>
      <c r="C32" s="5"/>
      <c r="D32" s="6"/>
      <c r="E32" s="5"/>
      <c r="F32" s="5"/>
      <c r="G32" s="7"/>
      <c r="H32" s="4">
        <f>IF(B32="","",IF(COUNTIF(Clients!$A$5:$A$1000,B32)=0,"Not in Clients",""))</f>
      </c>
      <c r="I32" s="11">
        <f>IF(C32="","",IF(O32&lt;&gt;"",O32,IFERROR(VLOOKUP(C32,Settings!$A$20:$B$25,2,0),0)))</f>
      </c>
      <c r="J32" s="9">
        <f>IF(OR(C32="Lead",C32="Proposal sent"),D32*I32,"")</f>
      </c>
      <c r="K32" s="9">
        <f>IF(OR(D32="",E32="",E32=0),"",D32/E32)</f>
      </c>
      <c r="L32" s="9">
        <f>IF(C32&lt;&gt;"Done","",IF(OR(F32="",F32=0),"",D32/F32))</f>
      </c>
      <c r="M32" s="4">
        <f>IF(C32&lt;&gt;"Done","",IF(F32="","",F32-E32))</f>
      </c>
      <c r="N32" s="4">
        <f>IF(AND(C32="Proposal sent",G32&lt;&gt;""),IF(Settings!$B$9-G32&gt;=Settings!$B$15,"Follow up",""),"")</f>
      </c>
      <c r="O32" s="8"/>
      <c r="P32" s="7"/>
    </row>
    <row r="33" spans="1:16" x14ac:dyDescent="0.25">
      <c r="A33" s="5"/>
      <c r="B33" s="5"/>
      <c r="C33" s="5"/>
      <c r="D33" s="6"/>
      <c r="E33" s="5"/>
      <c r="F33" s="5"/>
      <c r="G33" s="7"/>
      <c r="H33" s="4">
        <f>IF(B33="","",IF(COUNTIF(Clients!$A$5:$A$1000,B33)=0,"Not in Clients",""))</f>
      </c>
      <c r="I33" s="11">
        <f>IF(C33="","",IF(O33&lt;&gt;"",O33,IFERROR(VLOOKUP(C33,Settings!$A$20:$B$25,2,0),0)))</f>
      </c>
      <c r="J33" s="9">
        <f>IF(OR(C33="Lead",C33="Proposal sent"),D33*I33,"")</f>
      </c>
      <c r="K33" s="9">
        <f>IF(OR(D33="",E33="",E33=0),"",D33/E33)</f>
      </c>
      <c r="L33" s="9">
        <f>IF(C33&lt;&gt;"Done","",IF(OR(F33="",F33=0),"",D33/F33))</f>
      </c>
      <c r="M33" s="4">
        <f>IF(C33&lt;&gt;"Done","",IF(F33="","",F33-E33))</f>
      </c>
      <c r="N33" s="4">
        <f>IF(AND(C33="Proposal sent",G33&lt;&gt;""),IF(Settings!$B$9-G33&gt;=Settings!$B$15,"Follow up",""),"")</f>
      </c>
      <c r="O33" s="8"/>
      <c r="P33" s="7"/>
    </row>
    <row r="34" spans="1:16" x14ac:dyDescent="0.25">
      <c r="A34" s="5"/>
      <c r="B34" s="5"/>
      <c r="C34" s="5"/>
      <c r="D34" s="6"/>
      <c r="E34" s="5"/>
      <c r="F34" s="5"/>
      <c r="G34" s="7"/>
      <c r="H34" s="4">
        <f>IF(B34="","",IF(COUNTIF(Clients!$A$5:$A$1000,B34)=0,"Not in Clients",""))</f>
      </c>
      <c r="I34" s="11">
        <f>IF(C34="","",IF(O34&lt;&gt;"",O34,IFERROR(VLOOKUP(C34,Settings!$A$20:$B$25,2,0),0)))</f>
      </c>
      <c r="J34" s="9">
        <f>IF(OR(C34="Lead",C34="Proposal sent"),D34*I34,"")</f>
      </c>
      <c r="K34" s="9">
        <f>IF(OR(D34="",E34="",E34=0),"",D34/E34)</f>
      </c>
      <c r="L34" s="9">
        <f>IF(C34&lt;&gt;"Done","",IF(OR(F34="",F34=0),"",D34/F34))</f>
      </c>
      <c r="M34" s="4">
        <f>IF(C34&lt;&gt;"Done","",IF(F34="","",F34-E34))</f>
      </c>
      <c r="N34" s="4">
        <f>IF(AND(C34="Proposal sent",G34&lt;&gt;""),IF(Settings!$B$9-G34&gt;=Settings!$B$15,"Follow up",""),"")</f>
      </c>
      <c r="O34" s="8"/>
      <c r="P34" s="7"/>
    </row>
    <row r="35" spans="1:16" x14ac:dyDescent="0.25">
      <c r="A35" s="5"/>
      <c r="B35" s="5"/>
      <c r="C35" s="5"/>
      <c r="D35" s="6"/>
      <c r="E35" s="5"/>
      <c r="F35" s="5"/>
      <c r="G35" s="7"/>
      <c r="H35" s="4">
        <f>IF(B35="","",IF(COUNTIF(Clients!$A$5:$A$1000,B35)=0,"Not in Clients",""))</f>
      </c>
      <c r="I35" s="11">
        <f>IF(C35="","",IF(O35&lt;&gt;"",O35,IFERROR(VLOOKUP(C35,Settings!$A$20:$B$25,2,0),0)))</f>
      </c>
      <c r="J35" s="9">
        <f>IF(OR(C35="Lead",C35="Proposal sent"),D35*I35,"")</f>
      </c>
      <c r="K35" s="9">
        <f>IF(OR(D35="",E35="",E35=0),"",D35/E35)</f>
      </c>
      <c r="L35" s="9">
        <f>IF(C35&lt;&gt;"Done","",IF(OR(F35="",F35=0),"",D35/F35))</f>
      </c>
      <c r="M35" s="4">
        <f>IF(C35&lt;&gt;"Done","",IF(F35="","",F35-E35))</f>
      </c>
      <c r="N35" s="4">
        <f>IF(AND(C35="Proposal sent",G35&lt;&gt;""),IF(Settings!$B$9-G35&gt;=Settings!$B$15,"Follow up",""),"")</f>
      </c>
      <c r="O35" s="8"/>
      <c r="P35" s="7"/>
    </row>
    <row r="36" spans="1:16" x14ac:dyDescent="0.25">
      <c r="A36" s="5"/>
      <c r="B36" s="5"/>
      <c r="C36" s="5"/>
      <c r="D36" s="6"/>
      <c r="E36" s="5"/>
      <c r="F36" s="5"/>
      <c r="G36" s="7"/>
      <c r="H36" s="4">
        <f>IF(B36="","",IF(COUNTIF(Clients!$A$5:$A$1000,B36)=0,"Not in Clients",""))</f>
      </c>
      <c r="I36" s="11">
        <f>IF(C36="","",IF(O36&lt;&gt;"",O36,IFERROR(VLOOKUP(C36,Settings!$A$20:$B$25,2,0),0)))</f>
      </c>
      <c r="J36" s="9">
        <f>IF(OR(C36="Lead",C36="Proposal sent"),D36*I36,"")</f>
      </c>
      <c r="K36" s="9">
        <f>IF(OR(D36="",E36="",E36=0),"",D36/E36)</f>
      </c>
      <c r="L36" s="9">
        <f>IF(C36&lt;&gt;"Done","",IF(OR(F36="",F36=0),"",D36/F36))</f>
      </c>
      <c r="M36" s="4">
        <f>IF(C36&lt;&gt;"Done","",IF(F36="","",F36-E36))</f>
      </c>
      <c r="N36" s="4">
        <f>IF(AND(C36="Proposal sent",G36&lt;&gt;""),IF(Settings!$B$9-G36&gt;=Settings!$B$15,"Follow up",""),"")</f>
      </c>
      <c r="O36" s="8"/>
      <c r="P36" s="7"/>
    </row>
    <row r="37" spans="1:16" x14ac:dyDescent="0.25">
      <c r="A37" s="5"/>
      <c r="B37" s="5"/>
      <c r="C37" s="5"/>
      <c r="D37" s="6"/>
      <c r="E37" s="5"/>
      <c r="F37" s="5"/>
      <c r="G37" s="7"/>
      <c r="H37" s="4">
        <f>IF(B37="","",IF(COUNTIF(Clients!$A$5:$A$1000,B37)=0,"Not in Clients",""))</f>
      </c>
      <c r="I37" s="11">
        <f>IF(C37="","",IF(O37&lt;&gt;"",O37,IFERROR(VLOOKUP(C37,Settings!$A$20:$B$25,2,0),0)))</f>
      </c>
      <c r="J37" s="9">
        <f>IF(OR(C37="Lead",C37="Proposal sent"),D37*I37,"")</f>
      </c>
      <c r="K37" s="9">
        <f>IF(OR(D37="",E37="",E37=0),"",D37/E37)</f>
      </c>
      <c r="L37" s="9">
        <f>IF(C37&lt;&gt;"Done","",IF(OR(F37="",F37=0),"",D37/F37))</f>
      </c>
      <c r="M37" s="4">
        <f>IF(C37&lt;&gt;"Done","",IF(F37="","",F37-E37))</f>
      </c>
      <c r="N37" s="4">
        <f>IF(AND(C37="Proposal sent",G37&lt;&gt;""),IF(Settings!$B$9-G37&gt;=Settings!$B$15,"Follow up",""),"")</f>
      </c>
      <c r="O37" s="8"/>
      <c r="P37" s="7"/>
    </row>
    <row r="38" spans="1:16" x14ac:dyDescent="0.25">
      <c r="A38" s="5"/>
      <c r="B38" s="5"/>
      <c r="C38" s="5"/>
      <c r="D38" s="6"/>
      <c r="E38" s="5"/>
      <c r="F38" s="5"/>
      <c r="G38" s="7"/>
      <c r="H38" s="4">
        <f>IF(B38="","",IF(COUNTIF(Clients!$A$5:$A$1000,B38)=0,"Not in Clients",""))</f>
      </c>
      <c r="I38" s="11">
        <f>IF(C38="","",IF(O38&lt;&gt;"",O38,IFERROR(VLOOKUP(C38,Settings!$A$20:$B$25,2,0),0)))</f>
      </c>
      <c r="J38" s="9">
        <f>IF(OR(C38="Lead",C38="Proposal sent"),D38*I38,"")</f>
      </c>
      <c r="K38" s="9">
        <f>IF(OR(D38="",E38="",E38=0),"",D38/E38)</f>
      </c>
      <c r="L38" s="9">
        <f>IF(C38&lt;&gt;"Done","",IF(OR(F38="",F38=0),"",D38/F38))</f>
      </c>
      <c r="M38" s="4">
        <f>IF(C38&lt;&gt;"Done","",IF(F38="","",F38-E38))</f>
      </c>
      <c r="N38" s="4">
        <f>IF(AND(C38="Proposal sent",G38&lt;&gt;""),IF(Settings!$B$9-G38&gt;=Settings!$B$15,"Follow up",""),"")</f>
      </c>
      <c r="O38" s="8"/>
      <c r="P38" s="7"/>
    </row>
    <row r="39" spans="1:16" x14ac:dyDescent="0.25">
      <c r="A39" s="5"/>
      <c r="B39" s="5"/>
      <c r="C39" s="5"/>
      <c r="D39" s="6"/>
      <c r="E39" s="5"/>
      <c r="F39" s="5"/>
      <c r="G39" s="7"/>
      <c r="H39" s="4">
        <f>IF(B39="","",IF(COUNTIF(Clients!$A$5:$A$1000,B39)=0,"Not in Clients",""))</f>
      </c>
      <c r="I39" s="11">
        <f>IF(C39="","",IF(O39&lt;&gt;"",O39,IFERROR(VLOOKUP(C39,Settings!$A$20:$B$25,2,0),0)))</f>
      </c>
      <c r="J39" s="9">
        <f>IF(OR(C39="Lead",C39="Proposal sent"),D39*I39,"")</f>
      </c>
      <c r="K39" s="9">
        <f>IF(OR(D39="",E39="",E39=0),"",D39/E39)</f>
      </c>
      <c r="L39" s="9">
        <f>IF(C39&lt;&gt;"Done","",IF(OR(F39="",F39=0),"",D39/F39))</f>
      </c>
      <c r="M39" s="4">
        <f>IF(C39&lt;&gt;"Done","",IF(F39="","",F39-E39))</f>
      </c>
      <c r="N39" s="4">
        <f>IF(AND(C39="Proposal sent",G39&lt;&gt;""),IF(Settings!$B$9-G39&gt;=Settings!$B$15,"Follow up",""),"")</f>
      </c>
      <c r="O39" s="8"/>
      <c r="P39" s="7"/>
    </row>
    <row r="40" spans="1:16" x14ac:dyDescent="0.25">
      <c r="A40" s="5"/>
      <c r="B40" s="5"/>
      <c r="C40" s="5"/>
      <c r="D40" s="6"/>
      <c r="E40" s="5"/>
      <c r="F40" s="5"/>
      <c r="G40" s="7"/>
      <c r="H40" s="4">
        <f>IF(B40="","",IF(COUNTIF(Clients!$A$5:$A$1000,B40)=0,"Not in Clients",""))</f>
      </c>
      <c r="I40" s="11">
        <f>IF(C40="","",IF(O40&lt;&gt;"",O40,IFERROR(VLOOKUP(C40,Settings!$A$20:$B$25,2,0),0)))</f>
      </c>
      <c r="J40" s="9">
        <f>IF(OR(C40="Lead",C40="Proposal sent"),D40*I40,"")</f>
      </c>
      <c r="K40" s="9">
        <f>IF(OR(D40="",E40="",E40=0),"",D40/E40)</f>
      </c>
      <c r="L40" s="9">
        <f>IF(C40&lt;&gt;"Done","",IF(OR(F40="",F40=0),"",D40/F40))</f>
      </c>
      <c r="M40" s="4">
        <f>IF(C40&lt;&gt;"Done","",IF(F40="","",F40-E40))</f>
      </c>
      <c r="N40" s="4">
        <f>IF(AND(C40="Proposal sent",G40&lt;&gt;""),IF(Settings!$B$9-G40&gt;=Settings!$B$15,"Follow up",""),"")</f>
      </c>
      <c r="O40" s="8"/>
      <c r="P40" s="7"/>
    </row>
    <row r="41" spans="1:16" x14ac:dyDescent="0.25">
      <c r="A41" s="5"/>
      <c r="B41" s="5"/>
      <c r="C41" s="5"/>
      <c r="D41" s="6"/>
      <c r="E41" s="5"/>
      <c r="F41" s="5"/>
      <c r="G41" s="7"/>
      <c r="H41" s="4">
        <f>IF(B41="","",IF(COUNTIF(Clients!$A$5:$A$1000,B41)=0,"Not in Clients",""))</f>
      </c>
      <c r="I41" s="11">
        <f>IF(C41="","",IF(O41&lt;&gt;"",O41,IFERROR(VLOOKUP(C41,Settings!$A$20:$B$25,2,0),0)))</f>
      </c>
      <c r="J41" s="9">
        <f>IF(OR(C41="Lead",C41="Proposal sent"),D41*I41,"")</f>
      </c>
      <c r="K41" s="9">
        <f>IF(OR(D41="",E41="",E41=0),"",D41/E41)</f>
      </c>
      <c r="L41" s="9">
        <f>IF(C41&lt;&gt;"Done","",IF(OR(F41="",F41=0),"",D41/F41))</f>
      </c>
      <c r="M41" s="4">
        <f>IF(C41&lt;&gt;"Done","",IF(F41="","",F41-E41))</f>
      </c>
      <c r="N41" s="4">
        <f>IF(AND(C41="Proposal sent",G41&lt;&gt;""),IF(Settings!$B$9-G41&gt;=Settings!$B$15,"Follow up",""),"")</f>
      </c>
      <c r="O41" s="8"/>
      <c r="P41" s="7"/>
    </row>
    <row r="42" spans="1:16" x14ac:dyDescent="0.25">
      <c r="A42" s="5"/>
      <c r="B42" s="5"/>
      <c r="C42" s="5"/>
      <c r="D42" s="6"/>
      <c r="E42" s="5"/>
      <c r="F42" s="5"/>
      <c r="G42" s="7"/>
      <c r="H42" s="4">
        <f>IF(B42="","",IF(COUNTIF(Clients!$A$5:$A$1000,B42)=0,"Not in Clients",""))</f>
      </c>
      <c r="I42" s="11">
        <f>IF(C42="","",IF(O42&lt;&gt;"",O42,IFERROR(VLOOKUP(C42,Settings!$A$20:$B$25,2,0),0)))</f>
      </c>
      <c r="J42" s="9">
        <f>IF(OR(C42="Lead",C42="Proposal sent"),D42*I42,"")</f>
      </c>
      <c r="K42" s="9">
        <f>IF(OR(D42="",E42="",E42=0),"",D42/E42)</f>
      </c>
      <c r="L42" s="9">
        <f>IF(C42&lt;&gt;"Done","",IF(OR(F42="",F42=0),"",D42/F42))</f>
      </c>
      <c r="M42" s="4">
        <f>IF(C42&lt;&gt;"Done","",IF(F42="","",F42-E42))</f>
      </c>
      <c r="N42" s="4">
        <f>IF(AND(C42="Proposal sent",G42&lt;&gt;""),IF(Settings!$B$9-G42&gt;=Settings!$B$15,"Follow up",""),"")</f>
      </c>
      <c r="O42" s="8"/>
      <c r="P42" s="7"/>
    </row>
    <row r="43" spans="1:16" x14ac:dyDescent="0.25">
      <c r="A43" s="5"/>
      <c r="B43" s="5"/>
      <c r="C43" s="5"/>
      <c r="D43" s="6"/>
      <c r="E43" s="5"/>
      <c r="F43" s="5"/>
      <c r="G43" s="7"/>
      <c r="H43" s="4">
        <f>IF(B43="","",IF(COUNTIF(Clients!$A$5:$A$1000,B43)=0,"Not in Clients",""))</f>
      </c>
      <c r="I43" s="11">
        <f>IF(C43="","",IF(O43&lt;&gt;"",O43,IFERROR(VLOOKUP(C43,Settings!$A$20:$B$25,2,0),0)))</f>
      </c>
      <c r="J43" s="9">
        <f>IF(OR(C43="Lead",C43="Proposal sent"),D43*I43,"")</f>
      </c>
      <c r="K43" s="9">
        <f>IF(OR(D43="",E43="",E43=0),"",D43/E43)</f>
      </c>
      <c r="L43" s="9">
        <f>IF(C43&lt;&gt;"Done","",IF(OR(F43="",F43=0),"",D43/F43))</f>
      </c>
      <c r="M43" s="4">
        <f>IF(C43&lt;&gt;"Done","",IF(F43="","",F43-E43))</f>
      </c>
      <c r="N43" s="4">
        <f>IF(AND(C43="Proposal sent",G43&lt;&gt;""),IF(Settings!$B$9-G43&gt;=Settings!$B$15,"Follow up",""),"")</f>
      </c>
      <c r="O43" s="8"/>
      <c r="P43" s="7"/>
    </row>
    <row r="44" spans="1:16" x14ac:dyDescent="0.25">
      <c r="A44" s="5"/>
      <c r="B44" s="5"/>
      <c r="C44" s="5"/>
      <c r="D44" s="6"/>
      <c r="E44" s="5"/>
      <c r="F44" s="5"/>
      <c r="G44" s="7"/>
      <c r="H44" s="4">
        <f>IF(B44="","",IF(COUNTIF(Clients!$A$5:$A$1000,B44)=0,"Not in Clients",""))</f>
      </c>
      <c r="I44" s="11">
        <f>IF(C44="","",IF(O44&lt;&gt;"",O44,IFERROR(VLOOKUP(C44,Settings!$A$20:$B$25,2,0),0)))</f>
      </c>
      <c r="J44" s="9">
        <f>IF(OR(C44="Lead",C44="Proposal sent"),D44*I44,"")</f>
      </c>
      <c r="K44" s="9">
        <f>IF(OR(D44="",E44="",E44=0),"",D44/E44)</f>
      </c>
      <c r="L44" s="9">
        <f>IF(C44&lt;&gt;"Done","",IF(OR(F44="",F44=0),"",D44/F44))</f>
      </c>
      <c r="M44" s="4">
        <f>IF(C44&lt;&gt;"Done","",IF(F44="","",F44-E44))</f>
      </c>
      <c r="N44" s="4">
        <f>IF(AND(C44="Proposal sent",G44&lt;&gt;""),IF(Settings!$B$9-G44&gt;=Settings!$B$15,"Follow up",""),"")</f>
      </c>
      <c r="O44" s="8"/>
      <c r="P44" s="7"/>
    </row>
    <row r="45" spans="1:16" x14ac:dyDescent="0.25">
      <c r="A45" s="5"/>
      <c r="B45" s="5"/>
      <c r="C45" s="5"/>
      <c r="D45" s="6"/>
      <c r="E45" s="5"/>
      <c r="F45" s="5"/>
      <c r="G45" s="7"/>
      <c r="H45" s="4">
        <f>IF(B45="","",IF(COUNTIF(Clients!$A$5:$A$1000,B45)=0,"Not in Clients",""))</f>
      </c>
      <c r="I45" s="11">
        <f>IF(C45="","",IF(O45&lt;&gt;"",O45,IFERROR(VLOOKUP(C45,Settings!$A$20:$B$25,2,0),0)))</f>
      </c>
      <c r="J45" s="9">
        <f>IF(OR(C45="Lead",C45="Proposal sent"),D45*I45,"")</f>
      </c>
      <c r="K45" s="9">
        <f>IF(OR(D45="",E45="",E45=0),"",D45/E45)</f>
      </c>
      <c r="L45" s="9">
        <f>IF(C45&lt;&gt;"Done","",IF(OR(F45="",F45=0),"",D45/F45))</f>
      </c>
      <c r="M45" s="4">
        <f>IF(C45&lt;&gt;"Done","",IF(F45="","",F45-E45))</f>
      </c>
      <c r="N45" s="4">
        <f>IF(AND(C45="Proposal sent",G45&lt;&gt;""),IF(Settings!$B$9-G45&gt;=Settings!$B$15,"Follow up",""),"")</f>
      </c>
      <c r="O45" s="8"/>
      <c r="P45" s="7"/>
    </row>
    <row r="46" spans="1:16" x14ac:dyDescent="0.25">
      <c r="A46" s="5"/>
      <c r="B46" s="5"/>
      <c r="C46" s="5"/>
      <c r="D46" s="6"/>
      <c r="E46" s="5"/>
      <c r="F46" s="5"/>
      <c r="G46" s="7"/>
      <c r="H46" s="4">
        <f>IF(B46="","",IF(COUNTIF(Clients!$A$5:$A$1000,B46)=0,"Not in Clients",""))</f>
      </c>
      <c r="I46" s="11">
        <f>IF(C46="","",IF(O46&lt;&gt;"",O46,IFERROR(VLOOKUP(C46,Settings!$A$20:$B$25,2,0),0)))</f>
      </c>
      <c r="J46" s="9">
        <f>IF(OR(C46="Lead",C46="Proposal sent"),D46*I46,"")</f>
      </c>
      <c r="K46" s="9">
        <f>IF(OR(D46="",E46="",E46=0),"",D46/E46)</f>
      </c>
      <c r="L46" s="9">
        <f>IF(C46&lt;&gt;"Done","",IF(OR(F46="",F46=0),"",D46/F46))</f>
      </c>
      <c r="M46" s="4">
        <f>IF(C46&lt;&gt;"Done","",IF(F46="","",F46-E46))</f>
      </c>
      <c r="N46" s="4">
        <f>IF(AND(C46="Proposal sent",G46&lt;&gt;""),IF(Settings!$B$9-G46&gt;=Settings!$B$15,"Follow up",""),"")</f>
      </c>
      <c r="O46" s="8"/>
      <c r="P46" s="7"/>
    </row>
    <row r="47" spans="1:16" x14ac:dyDescent="0.25">
      <c r="A47" s="5"/>
      <c r="B47" s="5"/>
      <c r="C47" s="5"/>
      <c r="D47" s="6"/>
      <c r="E47" s="5"/>
      <c r="F47" s="5"/>
      <c r="G47" s="7"/>
      <c r="H47" s="4">
        <f>IF(B47="","",IF(COUNTIF(Clients!$A$5:$A$1000,B47)=0,"Not in Clients",""))</f>
      </c>
      <c r="I47" s="11">
        <f>IF(C47="","",IF(O47&lt;&gt;"",O47,IFERROR(VLOOKUP(C47,Settings!$A$20:$B$25,2,0),0)))</f>
      </c>
      <c r="J47" s="9">
        <f>IF(OR(C47="Lead",C47="Proposal sent"),D47*I47,"")</f>
      </c>
      <c r="K47" s="9">
        <f>IF(OR(D47="",E47="",E47=0),"",D47/E47)</f>
      </c>
      <c r="L47" s="9">
        <f>IF(C47&lt;&gt;"Done","",IF(OR(F47="",F47=0),"",D47/F47))</f>
      </c>
      <c r="M47" s="4">
        <f>IF(C47&lt;&gt;"Done","",IF(F47="","",F47-E47))</f>
      </c>
      <c r="N47" s="4">
        <f>IF(AND(C47="Proposal sent",G47&lt;&gt;""),IF(Settings!$B$9-G47&gt;=Settings!$B$15,"Follow up",""),"")</f>
      </c>
      <c r="O47" s="8"/>
      <c r="P47" s="7"/>
    </row>
    <row r="48" spans="1:16" x14ac:dyDescent="0.25">
      <c r="A48" s="5"/>
      <c r="B48" s="5"/>
      <c r="C48" s="5"/>
      <c r="D48" s="6"/>
      <c r="E48" s="5"/>
      <c r="F48" s="5"/>
      <c r="G48" s="7"/>
      <c r="H48" s="4">
        <f>IF(B48="","",IF(COUNTIF(Clients!$A$5:$A$1000,B48)=0,"Not in Clients",""))</f>
      </c>
      <c r="I48" s="11">
        <f>IF(C48="","",IF(O48&lt;&gt;"",O48,IFERROR(VLOOKUP(C48,Settings!$A$20:$B$25,2,0),0)))</f>
      </c>
      <c r="J48" s="9">
        <f>IF(OR(C48="Lead",C48="Proposal sent"),D48*I48,"")</f>
      </c>
      <c r="K48" s="9">
        <f>IF(OR(D48="",E48="",E48=0),"",D48/E48)</f>
      </c>
      <c r="L48" s="9">
        <f>IF(C48&lt;&gt;"Done","",IF(OR(F48="",F48=0),"",D48/F48))</f>
      </c>
      <c r="M48" s="4">
        <f>IF(C48&lt;&gt;"Done","",IF(F48="","",F48-E48))</f>
      </c>
      <c r="N48" s="4">
        <f>IF(AND(C48="Proposal sent",G48&lt;&gt;""),IF(Settings!$B$9-G48&gt;=Settings!$B$15,"Follow up",""),"")</f>
      </c>
      <c r="O48" s="8"/>
      <c r="P48" s="7"/>
    </row>
    <row r="49" spans="1:16" x14ac:dyDescent="0.25">
      <c r="A49" s="5"/>
      <c r="B49" s="5"/>
      <c r="C49" s="5"/>
      <c r="D49" s="6"/>
      <c r="E49" s="5"/>
      <c r="F49" s="5"/>
      <c r="G49" s="7"/>
      <c r="H49" s="4">
        <f>IF(B49="","",IF(COUNTIF(Clients!$A$5:$A$1000,B49)=0,"Not in Clients",""))</f>
      </c>
      <c r="I49" s="11">
        <f>IF(C49="","",IF(O49&lt;&gt;"",O49,IFERROR(VLOOKUP(C49,Settings!$A$20:$B$25,2,0),0)))</f>
      </c>
      <c r="J49" s="9">
        <f>IF(OR(C49="Lead",C49="Proposal sent"),D49*I49,"")</f>
      </c>
      <c r="K49" s="9">
        <f>IF(OR(D49="",E49="",E49=0),"",D49/E49)</f>
      </c>
      <c r="L49" s="9">
        <f>IF(C49&lt;&gt;"Done","",IF(OR(F49="",F49=0),"",D49/F49))</f>
      </c>
      <c r="M49" s="4">
        <f>IF(C49&lt;&gt;"Done","",IF(F49="","",F49-E49))</f>
      </c>
      <c r="N49" s="4">
        <f>IF(AND(C49="Proposal sent",G49&lt;&gt;""),IF(Settings!$B$9-G49&gt;=Settings!$B$15,"Follow up",""),"")</f>
      </c>
      <c r="O49" s="8"/>
      <c r="P49" s="7"/>
    </row>
    <row r="50" spans="1:16" x14ac:dyDescent="0.25">
      <c r="A50" s="5"/>
      <c r="B50" s="5"/>
      <c r="C50" s="5"/>
      <c r="D50" s="6"/>
      <c r="E50" s="5"/>
      <c r="F50" s="5"/>
      <c r="G50" s="7"/>
      <c r="H50" s="4">
        <f>IF(B50="","",IF(COUNTIF(Clients!$A$5:$A$1000,B50)=0,"Not in Clients",""))</f>
      </c>
      <c r="I50" s="11">
        <f>IF(C50="","",IF(O50&lt;&gt;"",O50,IFERROR(VLOOKUP(C50,Settings!$A$20:$B$25,2,0),0)))</f>
      </c>
      <c r="J50" s="9">
        <f>IF(OR(C50="Lead",C50="Proposal sent"),D50*I50,"")</f>
      </c>
      <c r="K50" s="9">
        <f>IF(OR(D50="",E50="",E50=0),"",D50/E50)</f>
      </c>
      <c r="L50" s="9">
        <f>IF(C50&lt;&gt;"Done","",IF(OR(F50="",F50=0),"",D50/F50))</f>
      </c>
      <c r="M50" s="4">
        <f>IF(C50&lt;&gt;"Done","",IF(F50="","",F50-E50))</f>
      </c>
      <c r="N50" s="4">
        <f>IF(AND(C50="Proposal sent",G50&lt;&gt;""),IF(Settings!$B$9-G50&gt;=Settings!$B$15,"Follow up",""),"")</f>
      </c>
      <c r="O50" s="8"/>
      <c r="P50" s="7"/>
    </row>
    <row r="51" spans="1:16" x14ac:dyDescent="0.25">
      <c r="A51" s="5"/>
      <c r="B51" s="5"/>
      <c r="C51" s="5"/>
      <c r="D51" s="6"/>
      <c r="E51" s="5"/>
      <c r="F51" s="5"/>
      <c r="G51" s="7"/>
      <c r="H51" s="4">
        <f>IF(B51="","",IF(COUNTIF(Clients!$A$5:$A$1000,B51)=0,"Not in Clients",""))</f>
      </c>
      <c r="I51" s="11">
        <f>IF(C51="","",IF(O51&lt;&gt;"",O51,IFERROR(VLOOKUP(C51,Settings!$A$20:$B$25,2,0),0)))</f>
      </c>
      <c r="J51" s="9">
        <f>IF(OR(C51="Lead",C51="Proposal sent"),D51*I51,"")</f>
      </c>
      <c r="K51" s="9">
        <f>IF(OR(D51="",E51="",E51=0),"",D51/E51)</f>
      </c>
      <c r="L51" s="9">
        <f>IF(C51&lt;&gt;"Done","",IF(OR(F51="",F51=0),"",D51/F51))</f>
      </c>
      <c r="M51" s="4">
        <f>IF(C51&lt;&gt;"Done","",IF(F51="","",F51-E51))</f>
      </c>
      <c r="N51" s="4">
        <f>IF(AND(C51="Proposal sent",G51&lt;&gt;""),IF(Settings!$B$9-G51&gt;=Settings!$B$15,"Follow up",""),"")</f>
      </c>
      <c r="O51" s="8"/>
      <c r="P51" s="7"/>
    </row>
    <row r="52" spans="1:16" x14ac:dyDescent="0.25">
      <c r="A52" s="5"/>
      <c r="B52" s="5"/>
      <c r="C52" s="5"/>
      <c r="D52" s="6"/>
      <c r="E52" s="5"/>
      <c r="F52" s="5"/>
      <c r="G52" s="7"/>
      <c r="H52" s="4">
        <f>IF(B52="","",IF(COUNTIF(Clients!$A$5:$A$1000,B52)=0,"Not in Clients",""))</f>
      </c>
      <c r="I52" s="11">
        <f>IF(C52="","",IF(O52&lt;&gt;"",O52,IFERROR(VLOOKUP(C52,Settings!$A$20:$B$25,2,0),0)))</f>
      </c>
      <c r="J52" s="9">
        <f>IF(OR(C52="Lead",C52="Proposal sent"),D52*I52,"")</f>
      </c>
      <c r="K52" s="9">
        <f>IF(OR(D52="",E52="",E52=0),"",D52/E52)</f>
      </c>
      <c r="L52" s="9">
        <f>IF(C52&lt;&gt;"Done","",IF(OR(F52="",F52=0),"",D52/F52))</f>
      </c>
      <c r="M52" s="4">
        <f>IF(C52&lt;&gt;"Done","",IF(F52="","",F52-E52))</f>
      </c>
      <c r="N52" s="4">
        <f>IF(AND(C52="Proposal sent",G52&lt;&gt;""),IF(Settings!$B$9-G52&gt;=Settings!$B$15,"Follow up",""),"")</f>
      </c>
      <c r="O52" s="8"/>
      <c r="P52" s="7"/>
    </row>
    <row r="53" spans="1:16" x14ac:dyDescent="0.25">
      <c r="A53" s="5"/>
      <c r="B53" s="5"/>
      <c r="C53" s="5"/>
      <c r="D53" s="6"/>
      <c r="E53" s="5"/>
      <c r="F53" s="5"/>
      <c r="G53" s="7"/>
      <c r="H53" s="4">
        <f>IF(B53="","",IF(COUNTIF(Clients!$A$5:$A$1000,B53)=0,"Not in Clients",""))</f>
      </c>
      <c r="I53" s="11">
        <f>IF(C53="","",IF(O53&lt;&gt;"",O53,IFERROR(VLOOKUP(C53,Settings!$A$20:$B$25,2,0),0)))</f>
      </c>
      <c r="J53" s="9">
        <f>IF(OR(C53="Lead",C53="Proposal sent"),D53*I53,"")</f>
      </c>
      <c r="K53" s="9">
        <f>IF(OR(D53="",E53="",E53=0),"",D53/E53)</f>
      </c>
      <c r="L53" s="9">
        <f>IF(C53&lt;&gt;"Done","",IF(OR(F53="",F53=0),"",D53/F53))</f>
      </c>
      <c r="M53" s="4">
        <f>IF(C53&lt;&gt;"Done","",IF(F53="","",F53-E53))</f>
      </c>
      <c r="N53" s="4">
        <f>IF(AND(C53="Proposal sent",G53&lt;&gt;""),IF(Settings!$B$9-G53&gt;=Settings!$B$15,"Follow up",""),"")</f>
      </c>
      <c r="O53" s="8"/>
      <c r="P53" s="7"/>
    </row>
    <row r="54" spans="1:16" x14ac:dyDescent="0.25">
      <c r="A54" s="5"/>
      <c r="B54" s="5"/>
      <c r="C54" s="5"/>
      <c r="D54" s="6"/>
      <c r="E54" s="5"/>
      <c r="F54" s="5"/>
      <c r="G54" s="7"/>
      <c r="H54" s="4">
        <f>IF(B54="","",IF(COUNTIF(Clients!$A$5:$A$1000,B54)=0,"Not in Clients",""))</f>
      </c>
      <c r="I54" s="11">
        <f>IF(C54="","",IF(O54&lt;&gt;"",O54,IFERROR(VLOOKUP(C54,Settings!$A$20:$B$25,2,0),0)))</f>
      </c>
      <c r="J54" s="9">
        <f>IF(OR(C54="Lead",C54="Proposal sent"),D54*I54,"")</f>
      </c>
      <c r="K54" s="9">
        <f>IF(OR(D54="",E54="",E54=0),"",D54/E54)</f>
      </c>
      <c r="L54" s="9">
        <f>IF(C54&lt;&gt;"Done","",IF(OR(F54="",F54=0),"",D54/F54))</f>
      </c>
      <c r="M54" s="4">
        <f>IF(C54&lt;&gt;"Done","",IF(F54="","",F54-E54))</f>
      </c>
      <c r="N54" s="4">
        <f>IF(AND(C54="Proposal sent",G54&lt;&gt;""),IF(Settings!$B$9-G54&gt;=Settings!$B$15,"Follow up",""),"")</f>
      </c>
      <c r="O54" s="8"/>
      <c r="P54" s="7"/>
    </row>
  </sheetData>
  <conditionalFormatting sqref="H5:H1000">
    <cfRule type="containsText" dxfId="6" priority="1">
      <formula>NOT(ISERROR(SEARCH("Not in Clients",H5)))</formula>
    </cfRule>
  </conditionalFormatting>
  <conditionalFormatting sqref="N5:N1000">
    <cfRule type="containsText" dxfId="7" priority="1">
      <formula>NOT(ISERROR(SEARCH("Follow up",N5)))</formula>
    </cfRule>
  </conditionalFormatting>
  <conditionalFormatting sqref="L5:L1000">
    <cfRule type="cellIs" dxfId="8" priority="1" operator="lessThan">
      <formula>$K5</formula>
    </cfRule>
  </conditionalFormatting>
  <conditionalFormatting sqref="L5:L1000">
    <cfRule type="cellIs" dxfId="9" priority="1" operator="between">
      <formula>$K5</formula>
      <formula>1E+99</formula>
    </cfRule>
  </conditionalFormatting>
  <dataValidations count="2">
    <dataValidation type="list" allowBlank="1" showErrorMessage="1" sqref="C10:C54">
      <formula1>"Lead,Proposal sent,Won,In progress,Done,Lost"</formula1>
    </dataValidation>
    <dataValidation type="list" allowBlank="1" showErrorMessage="1" sqref="C5:C54">
      <formula1>"Lead,Proposal sent,Won,In progress,Done,Lost"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0" customWidth="1"/>
    <col min="3" max="3" width="13" customWidth="1"/>
    <col min="4" max="4" width="11" customWidth="1"/>
    <col min="5" max="5" width="12" customWidth="1"/>
    <col min="6" max="6" width="13" customWidth="1"/>
    <col min="7" max="7" width="12" customWidth="1"/>
    <col min="8" max="8" width="15" customWidth="1"/>
    <col min="9" max="9" width="13" customWidth="1"/>
    <col min="10" max="10" width="12" customWidth="1"/>
    <col min="11" max="11" width="11" customWidth="1"/>
    <col min="12" max="12" width="12" customWidth="1"/>
    <col min="13" max="13" width="11" customWidth="1"/>
    <col min="14" max="14" width="15" customWidth="1"/>
    <col min="15" max="15" width="12" customWidth="1"/>
  </cols>
  <sheetData>
    <row r="1" spans="1:1" x14ac:dyDescent="0.25">
      <c r="A1" s="1" t="s">
        <v>182</v>
      </c>
    </row>
    <row r="2" spans="1:1" x14ac:dyDescent="0.25">
      <c r="A2" s="2" t="s">
        <v>183</v>
      </c>
    </row>
    <row r="4" spans="1:15" x14ac:dyDescent="0.25">
      <c r="A4" s="3" t="s">
        <v>184</v>
      </c>
      <c r="B4" s="3" t="s">
        <v>159</v>
      </c>
      <c r="C4" s="3" t="s">
        <v>185</v>
      </c>
      <c r="D4" s="3" t="s">
        <v>186</v>
      </c>
      <c r="E4" s="3" t="s">
        <v>187</v>
      </c>
      <c r="F4" s="3" t="s">
        <v>188</v>
      </c>
      <c r="G4" s="3" t="s">
        <v>189</v>
      </c>
      <c r="H4" s="3" t="s">
        <v>164</v>
      </c>
      <c r="I4" s="3" t="s">
        <v>190</v>
      </c>
      <c r="J4" s="3" t="s">
        <v>191</v>
      </c>
      <c r="K4" s="3" t="s">
        <v>192</v>
      </c>
      <c r="L4" s="3" t="s">
        <v>193</v>
      </c>
      <c r="M4" s="3" t="s">
        <v>194</v>
      </c>
      <c r="N4" s="3" t="s">
        <v>195</v>
      </c>
      <c r="O4" s="3" t="s">
        <v>196</v>
      </c>
    </row>
    <row r="5" spans="1:15" x14ac:dyDescent="0.25">
      <c r="A5" s="5" t="s">
        <v>197</v>
      </c>
      <c r="B5" s="5" t="s">
        <v>137</v>
      </c>
      <c r="C5" s="7">
        <f>Settings!$B$9-40</f>
      </c>
      <c r="D5" s="5">
        <v>14</v>
      </c>
      <c r="E5" s="6">
        <v>4200</v>
      </c>
      <c r="F5" s="7">
        <f>Settings!$B$9-31</f>
      </c>
      <c r="G5" s="6">
        <v>4200</v>
      </c>
      <c r="H5" s="4">
        <f>IF(B5="","",IF(COUNTIF(Clients!$A$5:$A$1000,B5)=0,"Not in Clients",""))</f>
      </c>
      <c r="I5" s="12">
        <f>IF(OR(C5="",D5=""),"",C5+D5)</f>
      </c>
      <c r="J5" s="9">
        <f>IF(A5="","",E5-G5)</f>
      </c>
      <c r="K5" s="4">
        <f>IF(A5="","",IF(J5&lt;=0,"Paid",IF(I5="","Open",IF(Settings!$B$9&gt;I5,"Overdue",IF(I5-Settings!$B$9&lt;=Settings!$B$11,"Due soon","Open")))))</f>
      </c>
      <c r="L5" s="4">
        <f>IF(K5="Overdue",Settings!$B$9-I5,IF(A5="","",0))</f>
      </c>
      <c r="M5" s="4">
        <f>IF(A5="","",IF(AND(J5&lt;=0,F5&lt;&gt;""),F5-C5,""))</f>
      </c>
      <c r="N5" s="4">
        <f>IF(K5="Overdue",IF(L5&gt;=Settings!$B$14,"Final notice",IF(L5&gt;=Settings!$B$13,"Firm reminder",IF(L5&gt;=Settings!$B$12,"Friendly nudge",""))),IF(K5="Due soon","Heads-up",""))</f>
      </c>
      <c r="O5" s="13">
        <f>IF(N5="",0,L5+1-ROW()/100000)</f>
      </c>
    </row>
    <row r="6" spans="1:15" x14ac:dyDescent="0.25">
      <c r="A6" s="5" t="s">
        <v>198</v>
      </c>
      <c r="B6" s="5" t="s">
        <v>141</v>
      </c>
      <c r="C6" s="7">
        <f>Settings!$B$9-35</f>
      </c>
      <c r="D6" s="5">
        <v>30</v>
      </c>
      <c r="E6" s="6">
        <v>2700</v>
      </c>
      <c r="F6" s="7">
        <f>Settings!$B$9-12</f>
      </c>
      <c r="G6" s="6">
        <v>2700</v>
      </c>
      <c r="H6" s="4">
        <f>IF(B6="","",IF(COUNTIF(Clients!$A$5:$A$1000,B6)=0,"Not in Clients",""))</f>
      </c>
      <c r="I6" s="12">
        <f>IF(OR(C6="",D6=""),"",C6+D6)</f>
      </c>
      <c r="J6" s="9">
        <f>IF(A6="","",E6-G6)</f>
      </c>
      <c r="K6" s="4">
        <f>IF(A6="","",IF(J6&lt;=0,"Paid",IF(I6="","Open",IF(Settings!$B$9&gt;I6,"Overdue",IF(I6-Settings!$B$9&lt;=Settings!$B$11,"Due soon","Open")))))</f>
      </c>
      <c r="L6" s="4">
        <f>IF(K6="Overdue",Settings!$B$9-I6,IF(A6="","",0))</f>
      </c>
      <c r="M6" s="4">
        <f>IF(A6="","",IF(AND(J6&lt;=0,F6&lt;&gt;""),F6-C6,""))</f>
      </c>
      <c r="N6" s="4">
        <f>IF(K6="Overdue",IF(L6&gt;=Settings!$B$14,"Final notice",IF(L6&gt;=Settings!$B$13,"Firm reminder",IF(L6&gt;=Settings!$B$12,"Friendly nudge",""))),IF(K6="Due soon","Heads-up",""))</f>
      </c>
      <c r="O6" s="13">
        <f>IF(N6="",0,L6+1-ROW()/100000)</f>
      </c>
    </row>
    <row r="7" spans="1:15" x14ac:dyDescent="0.25">
      <c r="A7" s="5" t="s">
        <v>199</v>
      </c>
      <c r="B7" s="5" t="s">
        <v>145</v>
      </c>
      <c r="C7" s="7">
        <f>Settings!$B$9-40</f>
      </c>
      <c r="D7" s="5">
        <v>14</v>
      </c>
      <c r="E7" s="6">
        <v>1200</v>
      </c>
      <c r="F7" s="7"/>
      <c r="G7" s="6">
        <v>0</v>
      </c>
      <c r="H7" s="4">
        <f>IF(B7="","",IF(COUNTIF(Clients!$A$5:$A$1000,B7)=0,"Not in Clients",""))</f>
      </c>
      <c r="I7" s="12">
        <f>IF(OR(C7="",D7=""),"",C7+D7)</f>
      </c>
      <c r="J7" s="9">
        <f>IF(A7="","",E7-G7)</f>
      </c>
      <c r="K7" s="4">
        <f>IF(A7="","",IF(J7&lt;=0,"Paid",IF(I7="","Open",IF(Settings!$B$9&gt;I7,"Overdue",IF(I7-Settings!$B$9&lt;=Settings!$B$11,"Due soon","Open")))))</f>
      </c>
      <c r="L7" s="4">
        <f>IF(K7="Overdue",Settings!$B$9-I7,IF(A7="","",0))</f>
      </c>
      <c r="M7" s="4">
        <f>IF(A7="","",IF(AND(J7&lt;=0,F7&lt;&gt;""),F7-C7,""))</f>
      </c>
      <c r="N7" s="4">
        <f>IF(K7="Overdue",IF(L7&gt;=Settings!$B$14,"Final notice",IF(L7&gt;=Settings!$B$13,"Firm reminder",IF(L7&gt;=Settings!$B$12,"Friendly nudge",""))),IF(K7="Due soon","Heads-up",""))</f>
      </c>
      <c r="O7" s="13">
        <f>IF(N7="",0,L7+1-ROW()/100000)</f>
      </c>
    </row>
    <row r="8" spans="1:15" x14ac:dyDescent="0.25">
      <c r="A8" s="5" t="s">
        <v>200</v>
      </c>
      <c r="B8" s="5" t="s">
        <v>149</v>
      </c>
      <c r="C8" s="7">
        <f>Settings!$B$9-21</f>
      </c>
      <c r="D8" s="5">
        <v>7</v>
      </c>
      <c r="E8" s="6">
        <v>1200</v>
      </c>
      <c r="F8" s="7">
        <f>Settings!$B$9-10</f>
      </c>
      <c r="G8" s="6">
        <v>600</v>
      </c>
      <c r="H8" s="4">
        <f>IF(B8="","",IF(COUNTIF(Clients!$A$5:$A$1000,B8)=0,"Not in Clients",""))</f>
      </c>
      <c r="I8" s="12">
        <f>IF(OR(C8="",D8=""),"",C8+D8)</f>
      </c>
      <c r="J8" s="9">
        <f>IF(A8="","",E8-G8)</f>
      </c>
      <c r="K8" s="4">
        <f>IF(A8="","",IF(J8&lt;=0,"Paid",IF(I8="","Open",IF(Settings!$B$9&gt;I8,"Overdue",IF(I8-Settings!$B$9&lt;=Settings!$B$11,"Due soon","Open")))))</f>
      </c>
      <c r="L8" s="4">
        <f>IF(K8="Overdue",Settings!$B$9-I8,IF(A8="","",0))</f>
      </c>
      <c r="M8" s="4">
        <f>IF(A8="","",IF(AND(J8&lt;=0,F8&lt;&gt;""),F8-C8,""))</f>
      </c>
      <c r="N8" s="4">
        <f>IF(K8="Overdue",IF(L8&gt;=Settings!$B$14,"Final notice",IF(L8&gt;=Settings!$B$13,"Firm reminder",IF(L8&gt;=Settings!$B$12,"Friendly nudge",""))),IF(K8="Due soon","Heads-up",""))</f>
      </c>
      <c r="O8" s="13">
        <f>IF(N8="",0,L8+1-ROW()/100000)</f>
      </c>
    </row>
    <row r="9" spans="1:15" x14ac:dyDescent="0.25">
      <c r="A9" s="5" t="s">
        <v>201</v>
      </c>
      <c r="B9" s="5" t="s">
        <v>145</v>
      </c>
      <c r="C9" s="7">
        <f>Settings!$B$9-18</f>
      </c>
      <c r="D9" s="5">
        <v>14</v>
      </c>
      <c r="E9" s="6">
        <v>1200</v>
      </c>
      <c r="F9" s="7"/>
      <c r="G9" s="6">
        <v>0</v>
      </c>
      <c r="H9" s="4">
        <f>IF(B9="","",IF(COUNTIF(Clients!$A$5:$A$1000,B9)=0,"Not in Clients",""))</f>
      </c>
      <c r="I9" s="12">
        <f>IF(OR(C9="",D9=""),"",C9+D9)</f>
      </c>
      <c r="J9" s="9">
        <f>IF(A9="","",E9-G9)</f>
      </c>
      <c r="K9" s="4">
        <f>IF(A9="","",IF(J9&lt;=0,"Paid",IF(I9="","Open",IF(Settings!$B$9&gt;I9,"Overdue",IF(I9-Settings!$B$9&lt;=Settings!$B$11,"Due soon","Open")))))</f>
      </c>
      <c r="L9" s="4">
        <f>IF(K9="Overdue",Settings!$B$9-I9,IF(A9="","",0))</f>
      </c>
      <c r="M9" s="4">
        <f>IF(A9="","",IF(AND(J9&lt;=0,F9&lt;&gt;""),F9-C9,""))</f>
      </c>
      <c r="N9" s="4">
        <f>IF(K9="Overdue",IF(L9&gt;=Settings!$B$14,"Final notice",IF(L9&gt;=Settings!$B$13,"Firm reminder",IF(L9&gt;=Settings!$B$12,"Friendly nudge",""))),IF(K9="Due soon","Heads-up",""))</f>
      </c>
      <c r="O9" s="13">
        <f>IF(N9="",0,L9+1-ROW()/100000)</f>
      </c>
    </row>
    <row r="10" spans="1:15" x14ac:dyDescent="0.25">
      <c r="A10" s="5" t="s">
        <v>202</v>
      </c>
      <c r="B10" s="5" t="s">
        <v>152</v>
      </c>
      <c r="C10" s="7">
        <f>Settings!$B$9-12</f>
      </c>
      <c r="D10" s="5">
        <v>14</v>
      </c>
      <c r="E10" s="6">
        <v>1950</v>
      </c>
      <c r="F10" s="7"/>
      <c r="G10" s="6">
        <v>0</v>
      </c>
      <c r="H10" s="4">
        <f>IF(B10="","",IF(COUNTIF(Clients!$A$5:$A$1000,B10)=0,"Not in Clients",""))</f>
      </c>
      <c r="I10" s="12">
        <f>IF(OR(C10="",D10=""),"",C10+D10)</f>
      </c>
      <c r="J10" s="9">
        <f>IF(A10="","",E10-G10)</f>
      </c>
      <c r="K10" s="4">
        <f>IF(A10="","",IF(J10&lt;=0,"Paid",IF(I10="","Open",IF(Settings!$B$9&gt;I10,"Overdue",IF(I10-Settings!$B$9&lt;=Settings!$B$11,"Due soon","Open")))))</f>
      </c>
      <c r="L10" s="4">
        <f>IF(K10="Overdue",Settings!$B$9-I10,IF(A10="","",0))</f>
      </c>
      <c r="M10" s="4">
        <f>IF(A10="","",IF(AND(J10&lt;=0,F10&lt;&gt;""),F10-C10,""))</f>
      </c>
      <c r="N10" s="4">
        <f>IF(K10="Overdue",IF(L10&gt;=Settings!$B$14,"Final notice",IF(L10&gt;=Settings!$B$13,"Firm reminder",IF(L10&gt;=Settings!$B$12,"Friendly nudge",""))),IF(K10="Due soon","Heads-up",""))</f>
      </c>
      <c r="O10" s="13">
        <f>IF(N10="",0,L10+1-ROW()/100000)</f>
      </c>
    </row>
    <row r="11" spans="1:15" x14ac:dyDescent="0.25">
      <c r="A11" s="5" t="s">
        <v>203</v>
      </c>
      <c r="B11" s="5" t="s">
        <v>137</v>
      </c>
      <c r="C11" s="7">
        <f>Settings!$B$9-5</f>
      </c>
      <c r="D11" s="5">
        <v>30</v>
      </c>
      <c r="E11" s="6">
        <v>3250</v>
      </c>
      <c r="F11" s="7"/>
      <c r="G11" s="6">
        <v>0</v>
      </c>
      <c r="H11" s="4">
        <f>IF(B11="","",IF(COUNTIF(Clients!$A$5:$A$1000,B11)=0,"Not in Clients",""))</f>
      </c>
      <c r="I11" s="12">
        <f>IF(OR(C11="",D11=""),"",C11+D11)</f>
      </c>
      <c r="J11" s="9">
        <f>IF(A11="","",E11-G11)</f>
      </c>
      <c r="K11" s="4">
        <f>IF(A11="","",IF(J11&lt;=0,"Paid",IF(I11="","Open",IF(Settings!$B$9&gt;I11,"Overdue",IF(I11-Settings!$B$9&lt;=Settings!$B$11,"Due soon","Open")))))</f>
      </c>
      <c r="L11" s="4">
        <f>IF(K11="Overdue",Settings!$B$9-I11,IF(A11="","",0))</f>
      </c>
      <c r="M11" s="4">
        <f>IF(A11="","",IF(AND(J11&lt;=0,F11&lt;&gt;""),F11-C11,""))</f>
      </c>
      <c r="N11" s="4">
        <f>IF(K11="Overdue",IF(L11&gt;=Settings!$B$14,"Final notice",IF(L11&gt;=Settings!$B$13,"Firm reminder",IF(L11&gt;=Settings!$B$12,"Friendly nudge",""))),IF(K11="Due soon","Heads-up",""))</f>
      </c>
      <c r="O11" s="13">
        <f>IF(N11="",0,L11+1-ROW()/100000)</f>
      </c>
    </row>
    <row r="12" spans="1:15" x14ac:dyDescent="0.25">
      <c r="A12" s="5" t="s">
        <v>204</v>
      </c>
      <c r="B12" s="5" t="s">
        <v>141</v>
      </c>
      <c r="C12" s="7">
        <f>Settings!$B$9-3</f>
      </c>
      <c r="D12" s="5">
        <v>14</v>
      </c>
      <c r="E12" s="6">
        <v>900</v>
      </c>
      <c r="F12" s="7">
        <f>Settings!$B$9-1</f>
      </c>
      <c r="G12" s="6">
        <v>900</v>
      </c>
      <c r="H12" s="4">
        <f>IF(B12="","",IF(COUNTIF(Clients!$A$5:$A$1000,B12)=0,"Not in Clients",""))</f>
      </c>
      <c r="I12" s="12">
        <f>IF(OR(C12="",D12=""),"",C12+D12)</f>
      </c>
      <c r="J12" s="9">
        <f>IF(A12="","",E12-G12)</f>
      </c>
      <c r="K12" s="4">
        <f>IF(A12="","",IF(J12&lt;=0,"Paid",IF(I12="","Open",IF(Settings!$B$9&gt;I12,"Overdue",IF(I12-Settings!$B$9&lt;=Settings!$B$11,"Due soon","Open")))))</f>
      </c>
      <c r="L12" s="4">
        <f>IF(K12="Overdue",Settings!$B$9-I12,IF(A12="","",0))</f>
      </c>
      <c r="M12" s="4">
        <f>IF(A12="","",IF(AND(J12&lt;=0,F12&lt;&gt;""),F12-C12,""))</f>
      </c>
      <c r="N12" s="4">
        <f>IF(K12="Overdue",IF(L12&gt;=Settings!$B$14,"Final notice",IF(L12&gt;=Settings!$B$13,"Firm reminder",IF(L12&gt;=Settings!$B$12,"Friendly nudge",""))),IF(K12="Due soon","Heads-up",""))</f>
      </c>
      <c r="O12" s="13">
        <f>IF(N12="",0,L12+1-ROW()/100000)</f>
      </c>
    </row>
    <row r="13" spans="1:15" x14ac:dyDescent="0.25">
      <c r="A13" s="5"/>
      <c r="B13" s="5"/>
      <c r="C13" s="7"/>
      <c r="D13" s="5"/>
      <c r="E13" s="6"/>
      <c r="F13" s="7"/>
      <c r="G13" s="6"/>
      <c r="H13" s="4">
        <f>IF(B13="","",IF(COUNTIF(Clients!$A$5:$A$1000,B13)=0,"Not in Clients",""))</f>
      </c>
      <c r="I13" s="12">
        <f>IF(OR(C13="",D13=""),"",C13+D13)</f>
      </c>
      <c r="J13" s="9">
        <f>IF(A13="","",E13-G13)</f>
      </c>
      <c r="K13" s="4">
        <f>IF(A13="","",IF(J13&lt;=0,"Paid",IF(I13="","Open",IF(Settings!$B$9&gt;I13,"Overdue",IF(I13-Settings!$B$9&lt;=Settings!$B$11,"Due soon","Open")))))</f>
      </c>
      <c r="L13" s="4">
        <f>IF(K13="Overdue",Settings!$B$9-I13,IF(A13="","",0))</f>
      </c>
      <c r="M13" s="4">
        <f>IF(A13="","",IF(AND(J13&lt;=0,F13&lt;&gt;""),F13-C13,""))</f>
      </c>
      <c r="N13" s="4">
        <f>IF(K13="Overdue",IF(L13&gt;=Settings!$B$14,"Final notice",IF(L13&gt;=Settings!$B$13,"Firm reminder",IF(L13&gt;=Settings!$B$12,"Friendly nudge",""))),IF(K13="Due soon","Heads-up",""))</f>
      </c>
      <c r="O13" s="13">
        <f>IF(N13="",0,L13+1-ROW()/100000)</f>
      </c>
    </row>
    <row r="14" spans="1:15" x14ac:dyDescent="0.25">
      <c r="A14" s="5"/>
      <c r="B14" s="5"/>
      <c r="C14" s="7"/>
      <c r="D14" s="5"/>
      <c r="E14" s="6"/>
      <c r="F14" s="7"/>
      <c r="G14" s="6"/>
      <c r="H14" s="4">
        <f>IF(B14="","",IF(COUNTIF(Clients!$A$5:$A$1000,B14)=0,"Not in Clients",""))</f>
      </c>
      <c r="I14" s="12">
        <f>IF(OR(C14="",D14=""),"",C14+D14)</f>
      </c>
      <c r="J14" s="9">
        <f>IF(A14="","",E14-G14)</f>
      </c>
      <c r="K14" s="4">
        <f>IF(A14="","",IF(J14&lt;=0,"Paid",IF(I14="","Open",IF(Settings!$B$9&gt;I14,"Overdue",IF(I14-Settings!$B$9&lt;=Settings!$B$11,"Due soon","Open")))))</f>
      </c>
      <c r="L14" s="4">
        <f>IF(K14="Overdue",Settings!$B$9-I14,IF(A14="","",0))</f>
      </c>
      <c r="M14" s="4">
        <f>IF(A14="","",IF(AND(J14&lt;=0,F14&lt;&gt;""),F14-C14,""))</f>
      </c>
      <c r="N14" s="4">
        <f>IF(K14="Overdue",IF(L14&gt;=Settings!$B$14,"Final notice",IF(L14&gt;=Settings!$B$13,"Firm reminder",IF(L14&gt;=Settings!$B$12,"Friendly nudge",""))),IF(K14="Due soon","Heads-up",""))</f>
      </c>
      <c r="O14" s="13">
        <f>IF(N14="",0,L14+1-ROW()/100000)</f>
      </c>
    </row>
    <row r="15" spans="1:15" x14ac:dyDescent="0.25">
      <c r="A15" s="5"/>
      <c r="B15" s="5"/>
      <c r="C15" s="7"/>
      <c r="D15" s="5"/>
      <c r="E15" s="6"/>
      <c r="F15" s="7"/>
      <c r="G15" s="6"/>
      <c r="H15" s="4">
        <f>IF(B15="","",IF(COUNTIF(Clients!$A$5:$A$1000,B15)=0,"Not in Clients",""))</f>
      </c>
      <c r="I15" s="12">
        <f>IF(OR(C15="",D15=""),"",C15+D15)</f>
      </c>
      <c r="J15" s="9">
        <f>IF(A15="","",E15-G15)</f>
      </c>
      <c r="K15" s="4">
        <f>IF(A15="","",IF(J15&lt;=0,"Paid",IF(I15="","Open",IF(Settings!$B$9&gt;I15,"Overdue",IF(I15-Settings!$B$9&lt;=Settings!$B$11,"Due soon","Open")))))</f>
      </c>
      <c r="L15" s="4">
        <f>IF(K15="Overdue",Settings!$B$9-I15,IF(A15="","",0))</f>
      </c>
      <c r="M15" s="4">
        <f>IF(A15="","",IF(AND(J15&lt;=0,F15&lt;&gt;""),F15-C15,""))</f>
      </c>
      <c r="N15" s="4">
        <f>IF(K15="Overdue",IF(L15&gt;=Settings!$B$14,"Final notice",IF(L15&gt;=Settings!$B$13,"Firm reminder",IF(L15&gt;=Settings!$B$12,"Friendly nudge",""))),IF(K15="Due soon","Heads-up",""))</f>
      </c>
      <c r="O15" s="13">
        <f>IF(N15="",0,L15+1-ROW()/100000)</f>
      </c>
    </row>
    <row r="16" spans="1:15" x14ac:dyDescent="0.25">
      <c r="A16" s="5"/>
      <c r="B16" s="5"/>
      <c r="C16" s="7"/>
      <c r="D16" s="5"/>
      <c r="E16" s="6"/>
      <c r="F16" s="7"/>
      <c r="G16" s="6"/>
      <c r="H16" s="4">
        <f>IF(B16="","",IF(COUNTIF(Clients!$A$5:$A$1000,B16)=0,"Not in Clients",""))</f>
      </c>
      <c r="I16" s="12">
        <f>IF(OR(C16="",D16=""),"",C16+D16)</f>
      </c>
      <c r="J16" s="9">
        <f>IF(A16="","",E16-G16)</f>
      </c>
      <c r="K16" s="4">
        <f>IF(A16="","",IF(J16&lt;=0,"Paid",IF(I16="","Open",IF(Settings!$B$9&gt;I16,"Overdue",IF(I16-Settings!$B$9&lt;=Settings!$B$11,"Due soon","Open")))))</f>
      </c>
      <c r="L16" s="4">
        <f>IF(K16="Overdue",Settings!$B$9-I16,IF(A16="","",0))</f>
      </c>
      <c r="M16" s="4">
        <f>IF(A16="","",IF(AND(J16&lt;=0,F16&lt;&gt;""),F16-C16,""))</f>
      </c>
      <c r="N16" s="4">
        <f>IF(K16="Overdue",IF(L16&gt;=Settings!$B$14,"Final notice",IF(L16&gt;=Settings!$B$13,"Firm reminder",IF(L16&gt;=Settings!$B$12,"Friendly nudge",""))),IF(K16="Due soon","Heads-up",""))</f>
      </c>
      <c r="O16" s="13">
        <f>IF(N16="",0,L16+1-ROW()/100000)</f>
      </c>
    </row>
    <row r="17" spans="1:15" x14ac:dyDescent="0.25">
      <c r="A17" s="5"/>
      <c r="B17" s="5"/>
      <c r="C17" s="7"/>
      <c r="D17" s="5"/>
      <c r="E17" s="6"/>
      <c r="F17" s="7"/>
      <c r="G17" s="6"/>
      <c r="H17" s="4">
        <f>IF(B17="","",IF(COUNTIF(Clients!$A$5:$A$1000,B17)=0,"Not in Clients",""))</f>
      </c>
      <c r="I17" s="12">
        <f>IF(OR(C17="",D17=""),"",C17+D17)</f>
      </c>
      <c r="J17" s="9">
        <f>IF(A17="","",E17-G17)</f>
      </c>
      <c r="K17" s="4">
        <f>IF(A17="","",IF(J17&lt;=0,"Paid",IF(I17="","Open",IF(Settings!$B$9&gt;I17,"Overdue",IF(I17-Settings!$B$9&lt;=Settings!$B$11,"Due soon","Open")))))</f>
      </c>
      <c r="L17" s="4">
        <f>IF(K17="Overdue",Settings!$B$9-I17,IF(A17="","",0))</f>
      </c>
      <c r="M17" s="4">
        <f>IF(A17="","",IF(AND(J17&lt;=0,F17&lt;&gt;""),F17-C17,""))</f>
      </c>
      <c r="N17" s="4">
        <f>IF(K17="Overdue",IF(L17&gt;=Settings!$B$14,"Final notice",IF(L17&gt;=Settings!$B$13,"Firm reminder",IF(L17&gt;=Settings!$B$12,"Friendly nudge",""))),IF(K17="Due soon","Heads-up",""))</f>
      </c>
      <c r="O17" s="13">
        <f>IF(N17="",0,L17+1-ROW()/100000)</f>
      </c>
    </row>
    <row r="18" spans="1:15" x14ac:dyDescent="0.25">
      <c r="A18" s="5"/>
      <c r="B18" s="5"/>
      <c r="C18" s="7"/>
      <c r="D18" s="5"/>
      <c r="E18" s="6"/>
      <c r="F18" s="7"/>
      <c r="G18" s="6"/>
      <c r="H18" s="4">
        <f>IF(B18="","",IF(COUNTIF(Clients!$A$5:$A$1000,B18)=0,"Not in Clients",""))</f>
      </c>
      <c r="I18" s="12">
        <f>IF(OR(C18="",D18=""),"",C18+D18)</f>
      </c>
      <c r="J18" s="9">
        <f>IF(A18="","",E18-G18)</f>
      </c>
      <c r="K18" s="4">
        <f>IF(A18="","",IF(J18&lt;=0,"Paid",IF(I18="","Open",IF(Settings!$B$9&gt;I18,"Overdue",IF(I18-Settings!$B$9&lt;=Settings!$B$11,"Due soon","Open")))))</f>
      </c>
      <c r="L18" s="4">
        <f>IF(K18="Overdue",Settings!$B$9-I18,IF(A18="","",0))</f>
      </c>
      <c r="M18" s="4">
        <f>IF(A18="","",IF(AND(J18&lt;=0,F18&lt;&gt;""),F18-C18,""))</f>
      </c>
      <c r="N18" s="4">
        <f>IF(K18="Overdue",IF(L18&gt;=Settings!$B$14,"Final notice",IF(L18&gt;=Settings!$B$13,"Firm reminder",IF(L18&gt;=Settings!$B$12,"Friendly nudge",""))),IF(K18="Due soon","Heads-up",""))</f>
      </c>
      <c r="O18" s="13">
        <f>IF(N18="",0,L18+1-ROW()/100000)</f>
      </c>
    </row>
    <row r="19" spans="1:15" x14ac:dyDescent="0.25">
      <c r="A19" s="5"/>
      <c r="B19" s="5"/>
      <c r="C19" s="7"/>
      <c r="D19" s="5"/>
      <c r="E19" s="6"/>
      <c r="F19" s="7"/>
      <c r="G19" s="6"/>
      <c r="H19" s="4">
        <f>IF(B19="","",IF(COUNTIF(Clients!$A$5:$A$1000,B19)=0,"Not in Clients",""))</f>
      </c>
      <c r="I19" s="12">
        <f>IF(OR(C19="",D19=""),"",C19+D19)</f>
      </c>
      <c r="J19" s="9">
        <f>IF(A19="","",E19-G19)</f>
      </c>
      <c r="K19" s="4">
        <f>IF(A19="","",IF(J19&lt;=0,"Paid",IF(I19="","Open",IF(Settings!$B$9&gt;I19,"Overdue",IF(I19-Settings!$B$9&lt;=Settings!$B$11,"Due soon","Open")))))</f>
      </c>
      <c r="L19" s="4">
        <f>IF(K19="Overdue",Settings!$B$9-I19,IF(A19="","",0))</f>
      </c>
      <c r="M19" s="4">
        <f>IF(A19="","",IF(AND(J19&lt;=0,F19&lt;&gt;""),F19-C19,""))</f>
      </c>
      <c r="N19" s="4">
        <f>IF(K19="Overdue",IF(L19&gt;=Settings!$B$14,"Final notice",IF(L19&gt;=Settings!$B$13,"Firm reminder",IF(L19&gt;=Settings!$B$12,"Friendly nudge",""))),IF(K19="Due soon","Heads-up",""))</f>
      </c>
      <c r="O19" s="13">
        <f>IF(N19="",0,L19+1-ROW()/100000)</f>
      </c>
    </row>
    <row r="20" spans="1:15" x14ac:dyDescent="0.25">
      <c r="A20" s="5"/>
      <c r="B20" s="5"/>
      <c r="C20" s="7"/>
      <c r="D20" s="5"/>
      <c r="E20" s="6"/>
      <c r="F20" s="7"/>
      <c r="G20" s="6"/>
      <c r="H20" s="4">
        <f>IF(B20="","",IF(COUNTIF(Clients!$A$5:$A$1000,B20)=0,"Not in Clients",""))</f>
      </c>
      <c r="I20" s="12">
        <f>IF(OR(C20="",D20=""),"",C20+D20)</f>
      </c>
      <c r="J20" s="9">
        <f>IF(A20="","",E20-G20)</f>
      </c>
      <c r="K20" s="4">
        <f>IF(A20="","",IF(J20&lt;=0,"Paid",IF(I20="","Open",IF(Settings!$B$9&gt;I20,"Overdue",IF(I20-Settings!$B$9&lt;=Settings!$B$11,"Due soon","Open")))))</f>
      </c>
      <c r="L20" s="4">
        <f>IF(K20="Overdue",Settings!$B$9-I20,IF(A20="","",0))</f>
      </c>
      <c r="M20" s="4">
        <f>IF(A20="","",IF(AND(J20&lt;=0,F20&lt;&gt;""),F20-C20,""))</f>
      </c>
      <c r="N20" s="4">
        <f>IF(K20="Overdue",IF(L20&gt;=Settings!$B$14,"Final notice",IF(L20&gt;=Settings!$B$13,"Firm reminder",IF(L20&gt;=Settings!$B$12,"Friendly nudge",""))),IF(K20="Due soon","Heads-up",""))</f>
      </c>
      <c r="O20" s="13">
        <f>IF(N20="",0,L20+1-ROW()/100000)</f>
      </c>
    </row>
    <row r="21" spans="1:15" x14ac:dyDescent="0.25">
      <c r="A21" s="5"/>
      <c r="B21" s="5"/>
      <c r="C21" s="7"/>
      <c r="D21" s="5"/>
      <c r="E21" s="6"/>
      <c r="F21" s="7"/>
      <c r="G21" s="6"/>
      <c r="H21" s="4">
        <f>IF(B21="","",IF(COUNTIF(Clients!$A$5:$A$1000,B21)=0,"Not in Clients",""))</f>
      </c>
      <c r="I21" s="12">
        <f>IF(OR(C21="",D21=""),"",C21+D21)</f>
      </c>
      <c r="J21" s="9">
        <f>IF(A21="","",E21-G21)</f>
      </c>
      <c r="K21" s="4">
        <f>IF(A21="","",IF(J21&lt;=0,"Paid",IF(I21="","Open",IF(Settings!$B$9&gt;I21,"Overdue",IF(I21-Settings!$B$9&lt;=Settings!$B$11,"Due soon","Open")))))</f>
      </c>
      <c r="L21" s="4">
        <f>IF(K21="Overdue",Settings!$B$9-I21,IF(A21="","",0))</f>
      </c>
      <c r="M21" s="4">
        <f>IF(A21="","",IF(AND(J21&lt;=0,F21&lt;&gt;""),F21-C21,""))</f>
      </c>
      <c r="N21" s="4">
        <f>IF(K21="Overdue",IF(L21&gt;=Settings!$B$14,"Final notice",IF(L21&gt;=Settings!$B$13,"Firm reminder",IF(L21&gt;=Settings!$B$12,"Friendly nudge",""))),IF(K21="Due soon","Heads-up",""))</f>
      </c>
      <c r="O21" s="13">
        <f>IF(N21="",0,L21+1-ROW()/100000)</f>
      </c>
    </row>
    <row r="22" spans="1:15" x14ac:dyDescent="0.25">
      <c r="A22" s="5"/>
      <c r="B22" s="5"/>
      <c r="C22" s="7"/>
      <c r="D22" s="5"/>
      <c r="E22" s="6"/>
      <c r="F22" s="7"/>
      <c r="G22" s="6"/>
      <c r="H22" s="4">
        <f>IF(B22="","",IF(COUNTIF(Clients!$A$5:$A$1000,B22)=0,"Not in Clients",""))</f>
      </c>
      <c r="I22" s="12">
        <f>IF(OR(C22="",D22=""),"",C22+D22)</f>
      </c>
      <c r="J22" s="9">
        <f>IF(A22="","",E22-G22)</f>
      </c>
      <c r="K22" s="4">
        <f>IF(A22="","",IF(J22&lt;=0,"Paid",IF(I22="","Open",IF(Settings!$B$9&gt;I22,"Overdue",IF(I22-Settings!$B$9&lt;=Settings!$B$11,"Due soon","Open")))))</f>
      </c>
      <c r="L22" s="4">
        <f>IF(K22="Overdue",Settings!$B$9-I22,IF(A22="","",0))</f>
      </c>
      <c r="M22" s="4">
        <f>IF(A22="","",IF(AND(J22&lt;=0,F22&lt;&gt;""),F22-C22,""))</f>
      </c>
      <c r="N22" s="4">
        <f>IF(K22="Overdue",IF(L22&gt;=Settings!$B$14,"Final notice",IF(L22&gt;=Settings!$B$13,"Firm reminder",IF(L22&gt;=Settings!$B$12,"Friendly nudge",""))),IF(K22="Due soon","Heads-up",""))</f>
      </c>
      <c r="O22" s="13">
        <f>IF(N22="",0,L22+1-ROW()/100000)</f>
      </c>
    </row>
    <row r="23" spans="1:15" x14ac:dyDescent="0.25">
      <c r="A23" s="5"/>
      <c r="B23" s="5"/>
      <c r="C23" s="7"/>
      <c r="D23" s="5"/>
      <c r="E23" s="6"/>
      <c r="F23" s="7"/>
      <c r="G23" s="6"/>
      <c r="H23" s="4">
        <f>IF(B23="","",IF(COUNTIF(Clients!$A$5:$A$1000,B23)=0,"Not in Clients",""))</f>
      </c>
      <c r="I23" s="12">
        <f>IF(OR(C23="",D23=""),"",C23+D23)</f>
      </c>
      <c r="J23" s="9">
        <f>IF(A23="","",E23-G23)</f>
      </c>
      <c r="K23" s="4">
        <f>IF(A23="","",IF(J23&lt;=0,"Paid",IF(I23="","Open",IF(Settings!$B$9&gt;I23,"Overdue",IF(I23-Settings!$B$9&lt;=Settings!$B$11,"Due soon","Open")))))</f>
      </c>
      <c r="L23" s="4">
        <f>IF(K23="Overdue",Settings!$B$9-I23,IF(A23="","",0))</f>
      </c>
      <c r="M23" s="4">
        <f>IF(A23="","",IF(AND(J23&lt;=0,F23&lt;&gt;""),F23-C23,""))</f>
      </c>
      <c r="N23" s="4">
        <f>IF(K23="Overdue",IF(L23&gt;=Settings!$B$14,"Final notice",IF(L23&gt;=Settings!$B$13,"Firm reminder",IF(L23&gt;=Settings!$B$12,"Friendly nudge",""))),IF(K23="Due soon","Heads-up",""))</f>
      </c>
      <c r="O23" s="13">
        <f>IF(N23="",0,L23+1-ROW()/100000)</f>
      </c>
    </row>
    <row r="24" spans="1:15" x14ac:dyDescent="0.25">
      <c r="A24" s="5"/>
      <c r="B24" s="5"/>
      <c r="C24" s="7"/>
      <c r="D24" s="5"/>
      <c r="E24" s="6"/>
      <c r="F24" s="7"/>
      <c r="G24" s="6"/>
      <c r="H24" s="4">
        <f>IF(B24="","",IF(COUNTIF(Clients!$A$5:$A$1000,B24)=0,"Not in Clients",""))</f>
      </c>
      <c r="I24" s="12">
        <f>IF(OR(C24="",D24=""),"",C24+D24)</f>
      </c>
      <c r="J24" s="9">
        <f>IF(A24="","",E24-G24)</f>
      </c>
      <c r="K24" s="4">
        <f>IF(A24="","",IF(J24&lt;=0,"Paid",IF(I24="","Open",IF(Settings!$B$9&gt;I24,"Overdue",IF(I24-Settings!$B$9&lt;=Settings!$B$11,"Due soon","Open")))))</f>
      </c>
      <c r="L24" s="4">
        <f>IF(K24="Overdue",Settings!$B$9-I24,IF(A24="","",0))</f>
      </c>
      <c r="M24" s="4">
        <f>IF(A24="","",IF(AND(J24&lt;=0,F24&lt;&gt;""),F24-C24,""))</f>
      </c>
      <c r="N24" s="4">
        <f>IF(K24="Overdue",IF(L24&gt;=Settings!$B$14,"Final notice",IF(L24&gt;=Settings!$B$13,"Firm reminder",IF(L24&gt;=Settings!$B$12,"Friendly nudge",""))),IF(K24="Due soon","Heads-up",""))</f>
      </c>
      <c r="O24" s="13">
        <f>IF(N24="",0,L24+1-ROW()/100000)</f>
      </c>
    </row>
    <row r="25" spans="1:15" x14ac:dyDescent="0.25">
      <c r="A25" s="5"/>
      <c r="B25" s="5"/>
      <c r="C25" s="7"/>
      <c r="D25" s="5"/>
      <c r="E25" s="6"/>
      <c r="F25" s="7"/>
      <c r="G25" s="6"/>
      <c r="H25" s="4">
        <f>IF(B25="","",IF(COUNTIF(Clients!$A$5:$A$1000,B25)=0,"Not in Clients",""))</f>
      </c>
      <c r="I25" s="12">
        <f>IF(OR(C25="",D25=""),"",C25+D25)</f>
      </c>
      <c r="J25" s="9">
        <f>IF(A25="","",E25-G25)</f>
      </c>
      <c r="K25" s="4">
        <f>IF(A25="","",IF(J25&lt;=0,"Paid",IF(I25="","Open",IF(Settings!$B$9&gt;I25,"Overdue",IF(I25-Settings!$B$9&lt;=Settings!$B$11,"Due soon","Open")))))</f>
      </c>
      <c r="L25" s="4">
        <f>IF(K25="Overdue",Settings!$B$9-I25,IF(A25="","",0))</f>
      </c>
      <c r="M25" s="4">
        <f>IF(A25="","",IF(AND(J25&lt;=0,F25&lt;&gt;""),F25-C25,""))</f>
      </c>
      <c r="N25" s="4">
        <f>IF(K25="Overdue",IF(L25&gt;=Settings!$B$14,"Final notice",IF(L25&gt;=Settings!$B$13,"Firm reminder",IF(L25&gt;=Settings!$B$12,"Friendly nudge",""))),IF(K25="Due soon","Heads-up",""))</f>
      </c>
      <c r="O25" s="13">
        <f>IF(N25="",0,L25+1-ROW()/100000)</f>
      </c>
    </row>
    <row r="26" spans="1:15" x14ac:dyDescent="0.25">
      <c r="A26" s="5"/>
      <c r="B26" s="5"/>
      <c r="C26" s="7"/>
      <c r="D26" s="5"/>
      <c r="E26" s="6"/>
      <c r="F26" s="7"/>
      <c r="G26" s="6"/>
      <c r="H26" s="4">
        <f>IF(B26="","",IF(COUNTIF(Clients!$A$5:$A$1000,B26)=0,"Not in Clients",""))</f>
      </c>
      <c r="I26" s="12">
        <f>IF(OR(C26="",D26=""),"",C26+D26)</f>
      </c>
      <c r="J26" s="9">
        <f>IF(A26="","",E26-G26)</f>
      </c>
      <c r="K26" s="4">
        <f>IF(A26="","",IF(J26&lt;=0,"Paid",IF(I26="","Open",IF(Settings!$B$9&gt;I26,"Overdue",IF(I26-Settings!$B$9&lt;=Settings!$B$11,"Due soon","Open")))))</f>
      </c>
      <c r="L26" s="4">
        <f>IF(K26="Overdue",Settings!$B$9-I26,IF(A26="","",0))</f>
      </c>
      <c r="M26" s="4">
        <f>IF(A26="","",IF(AND(J26&lt;=0,F26&lt;&gt;""),F26-C26,""))</f>
      </c>
      <c r="N26" s="4">
        <f>IF(K26="Overdue",IF(L26&gt;=Settings!$B$14,"Final notice",IF(L26&gt;=Settings!$B$13,"Firm reminder",IF(L26&gt;=Settings!$B$12,"Friendly nudge",""))),IF(K26="Due soon","Heads-up",""))</f>
      </c>
      <c r="O26" s="13">
        <f>IF(N26="",0,L26+1-ROW()/100000)</f>
      </c>
    </row>
    <row r="27" spans="1:15" x14ac:dyDescent="0.25">
      <c r="A27" s="5"/>
      <c r="B27" s="5"/>
      <c r="C27" s="7"/>
      <c r="D27" s="5"/>
      <c r="E27" s="6"/>
      <c r="F27" s="7"/>
      <c r="G27" s="6"/>
      <c r="H27" s="4">
        <f>IF(B27="","",IF(COUNTIF(Clients!$A$5:$A$1000,B27)=0,"Not in Clients",""))</f>
      </c>
      <c r="I27" s="12">
        <f>IF(OR(C27="",D27=""),"",C27+D27)</f>
      </c>
      <c r="J27" s="9">
        <f>IF(A27="","",E27-G27)</f>
      </c>
      <c r="K27" s="4">
        <f>IF(A27="","",IF(J27&lt;=0,"Paid",IF(I27="","Open",IF(Settings!$B$9&gt;I27,"Overdue",IF(I27-Settings!$B$9&lt;=Settings!$B$11,"Due soon","Open")))))</f>
      </c>
      <c r="L27" s="4">
        <f>IF(K27="Overdue",Settings!$B$9-I27,IF(A27="","",0))</f>
      </c>
      <c r="M27" s="4">
        <f>IF(A27="","",IF(AND(J27&lt;=0,F27&lt;&gt;""),F27-C27,""))</f>
      </c>
      <c r="N27" s="4">
        <f>IF(K27="Overdue",IF(L27&gt;=Settings!$B$14,"Final notice",IF(L27&gt;=Settings!$B$13,"Firm reminder",IF(L27&gt;=Settings!$B$12,"Friendly nudge",""))),IF(K27="Due soon","Heads-up",""))</f>
      </c>
      <c r="O27" s="13">
        <f>IF(N27="",0,L27+1-ROW()/100000)</f>
      </c>
    </row>
    <row r="28" spans="1:15" x14ac:dyDescent="0.25">
      <c r="A28" s="5"/>
      <c r="B28" s="5"/>
      <c r="C28" s="7"/>
      <c r="D28" s="5"/>
      <c r="E28" s="6"/>
      <c r="F28" s="7"/>
      <c r="G28" s="6"/>
      <c r="H28" s="4">
        <f>IF(B28="","",IF(COUNTIF(Clients!$A$5:$A$1000,B28)=0,"Not in Clients",""))</f>
      </c>
      <c r="I28" s="12">
        <f>IF(OR(C28="",D28=""),"",C28+D28)</f>
      </c>
      <c r="J28" s="9">
        <f>IF(A28="","",E28-G28)</f>
      </c>
      <c r="K28" s="4">
        <f>IF(A28="","",IF(J28&lt;=0,"Paid",IF(I28="","Open",IF(Settings!$B$9&gt;I28,"Overdue",IF(I28-Settings!$B$9&lt;=Settings!$B$11,"Due soon","Open")))))</f>
      </c>
      <c r="L28" s="4">
        <f>IF(K28="Overdue",Settings!$B$9-I28,IF(A28="","",0))</f>
      </c>
      <c r="M28" s="4">
        <f>IF(A28="","",IF(AND(J28&lt;=0,F28&lt;&gt;""),F28-C28,""))</f>
      </c>
      <c r="N28" s="4">
        <f>IF(K28="Overdue",IF(L28&gt;=Settings!$B$14,"Final notice",IF(L28&gt;=Settings!$B$13,"Firm reminder",IF(L28&gt;=Settings!$B$12,"Friendly nudge",""))),IF(K28="Due soon","Heads-up",""))</f>
      </c>
      <c r="O28" s="13">
        <f>IF(N28="",0,L28+1-ROW()/100000)</f>
      </c>
    </row>
    <row r="29" spans="1:15" x14ac:dyDescent="0.25">
      <c r="A29" s="5"/>
      <c r="B29" s="5"/>
      <c r="C29" s="7"/>
      <c r="D29" s="5"/>
      <c r="E29" s="6"/>
      <c r="F29" s="7"/>
      <c r="G29" s="6"/>
      <c r="H29" s="4">
        <f>IF(B29="","",IF(COUNTIF(Clients!$A$5:$A$1000,B29)=0,"Not in Clients",""))</f>
      </c>
      <c r="I29" s="12">
        <f>IF(OR(C29="",D29=""),"",C29+D29)</f>
      </c>
      <c r="J29" s="9">
        <f>IF(A29="","",E29-G29)</f>
      </c>
      <c r="K29" s="4">
        <f>IF(A29="","",IF(J29&lt;=0,"Paid",IF(I29="","Open",IF(Settings!$B$9&gt;I29,"Overdue",IF(I29-Settings!$B$9&lt;=Settings!$B$11,"Due soon","Open")))))</f>
      </c>
      <c r="L29" s="4">
        <f>IF(K29="Overdue",Settings!$B$9-I29,IF(A29="","",0))</f>
      </c>
      <c r="M29" s="4">
        <f>IF(A29="","",IF(AND(J29&lt;=0,F29&lt;&gt;""),F29-C29,""))</f>
      </c>
      <c r="N29" s="4">
        <f>IF(K29="Overdue",IF(L29&gt;=Settings!$B$14,"Final notice",IF(L29&gt;=Settings!$B$13,"Firm reminder",IF(L29&gt;=Settings!$B$12,"Friendly nudge",""))),IF(K29="Due soon","Heads-up",""))</f>
      </c>
      <c r="O29" s="13">
        <f>IF(N29="",0,L29+1-ROW()/100000)</f>
      </c>
    </row>
    <row r="30" spans="1:15" x14ac:dyDescent="0.25">
      <c r="A30" s="5"/>
      <c r="B30" s="5"/>
      <c r="C30" s="7"/>
      <c r="D30" s="5"/>
      <c r="E30" s="6"/>
      <c r="F30" s="7"/>
      <c r="G30" s="6"/>
      <c r="H30" s="4">
        <f>IF(B30="","",IF(COUNTIF(Clients!$A$5:$A$1000,B30)=0,"Not in Clients",""))</f>
      </c>
      <c r="I30" s="12">
        <f>IF(OR(C30="",D30=""),"",C30+D30)</f>
      </c>
      <c r="J30" s="9">
        <f>IF(A30="","",E30-G30)</f>
      </c>
      <c r="K30" s="4">
        <f>IF(A30="","",IF(J30&lt;=0,"Paid",IF(I30="","Open",IF(Settings!$B$9&gt;I30,"Overdue",IF(I30-Settings!$B$9&lt;=Settings!$B$11,"Due soon","Open")))))</f>
      </c>
      <c r="L30" s="4">
        <f>IF(K30="Overdue",Settings!$B$9-I30,IF(A30="","",0))</f>
      </c>
      <c r="M30" s="4">
        <f>IF(A30="","",IF(AND(J30&lt;=0,F30&lt;&gt;""),F30-C30,""))</f>
      </c>
      <c r="N30" s="4">
        <f>IF(K30="Overdue",IF(L30&gt;=Settings!$B$14,"Final notice",IF(L30&gt;=Settings!$B$13,"Firm reminder",IF(L30&gt;=Settings!$B$12,"Friendly nudge",""))),IF(K30="Due soon","Heads-up",""))</f>
      </c>
      <c r="O30" s="13">
        <f>IF(N30="",0,L30+1-ROW()/100000)</f>
      </c>
    </row>
    <row r="31" spans="1:15" x14ac:dyDescent="0.25">
      <c r="A31" s="5"/>
      <c r="B31" s="5"/>
      <c r="C31" s="7"/>
      <c r="D31" s="5"/>
      <c r="E31" s="6"/>
      <c r="F31" s="7"/>
      <c r="G31" s="6"/>
      <c r="H31" s="4">
        <f>IF(B31="","",IF(COUNTIF(Clients!$A$5:$A$1000,B31)=0,"Not in Clients",""))</f>
      </c>
      <c r="I31" s="12">
        <f>IF(OR(C31="",D31=""),"",C31+D31)</f>
      </c>
      <c r="J31" s="9">
        <f>IF(A31="","",E31-G31)</f>
      </c>
      <c r="K31" s="4">
        <f>IF(A31="","",IF(J31&lt;=0,"Paid",IF(I31="","Open",IF(Settings!$B$9&gt;I31,"Overdue",IF(I31-Settings!$B$9&lt;=Settings!$B$11,"Due soon","Open")))))</f>
      </c>
      <c r="L31" s="4">
        <f>IF(K31="Overdue",Settings!$B$9-I31,IF(A31="","",0))</f>
      </c>
      <c r="M31" s="4">
        <f>IF(A31="","",IF(AND(J31&lt;=0,F31&lt;&gt;""),F31-C31,""))</f>
      </c>
      <c r="N31" s="4">
        <f>IF(K31="Overdue",IF(L31&gt;=Settings!$B$14,"Final notice",IF(L31&gt;=Settings!$B$13,"Firm reminder",IF(L31&gt;=Settings!$B$12,"Friendly nudge",""))),IF(K31="Due soon","Heads-up",""))</f>
      </c>
      <c r="O31" s="13">
        <f>IF(N31="",0,L31+1-ROW()/100000)</f>
      </c>
    </row>
    <row r="32" spans="1:15" x14ac:dyDescent="0.25">
      <c r="A32" s="5"/>
      <c r="B32" s="5"/>
      <c r="C32" s="7"/>
      <c r="D32" s="5"/>
      <c r="E32" s="6"/>
      <c r="F32" s="7"/>
      <c r="G32" s="6"/>
      <c r="H32" s="4">
        <f>IF(B32="","",IF(COUNTIF(Clients!$A$5:$A$1000,B32)=0,"Not in Clients",""))</f>
      </c>
      <c r="I32" s="12">
        <f>IF(OR(C32="",D32=""),"",C32+D32)</f>
      </c>
      <c r="J32" s="9">
        <f>IF(A32="","",E32-G32)</f>
      </c>
      <c r="K32" s="4">
        <f>IF(A32="","",IF(J32&lt;=0,"Paid",IF(I32="","Open",IF(Settings!$B$9&gt;I32,"Overdue",IF(I32-Settings!$B$9&lt;=Settings!$B$11,"Due soon","Open")))))</f>
      </c>
      <c r="L32" s="4">
        <f>IF(K32="Overdue",Settings!$B$9-I32,IF(A32="","",0))</f>
      </c>
      <c r="M32" s="4">
        <f>IF(A32="","",IF(AND(J32&lt;=0,F32&lt;&gt;""),F32-C32,""))</f>
      </c>
      <c r="N32" s="4">
        <f>IF(K32="Overdue",IF(L32&gt;=Settings!$B$14,"Final notice",IF(L32&gt;=Settings!$B$13,"Firm reminder",IF(L32&gt;=Settings!$B$12,"Friendly nudge",""))),IF(K32="Due soon","Heads-up",""))</f>
      </c>
      <c r="O32" s="13">
        <f>IF(N32="",0,L32+1-ROW()/100000)</f>
      </c>
    </row>
    <row r="33" spans="1:15" x14ac:dyDescent="0.25">
      <c r="A33" s="5"/>
      <c r="B33" s="5"/>
      <c r="C33" s="7"/>
      <c r="D33" s="5"/>
      <c r="E33" s="6"/>
      <c r="F33" s="7"/>
      <c r="G33" s="6"/>
      <c r="H33" s="4">
        <f>IF(B33="","",IF(COUNTIF(Clients!$A$5:$A$1000,B33)=0,"Not in Clients",""))</f>
      </c>
      <c r="I33" s="12">
        <f>IF(OR(C33="",D33=""),"",C33+D33)</f>
      </c>
      <c r="J33" s="9">
        <f>IF(A33="","",E33-G33)</f>
      </c>
      <c r="K33" s="4">
        <f>IF(A33="","",IF(J33&lt;=0,"Paid",IF(I33="","Open",IF(Settings!$B$9&gt;I33,"Overdue",IF(I33-Settings!$B$9&lt;=Settings!$B$11,"Due soon","Open")))))</f>
      </c>
      <c r="L33" s="4">
        <f>IF(K33="Overdue",Settings!$B$9-I33,IF(A33="","",0))</f>
      </c>
      <c r="M33" s="4">
        <f>IF(A33="","",IF(AND(J33&lt;=0,F33&lt;&gt;""),F33-C33,""))</f>
      </c>
      <c r="N33" s="4">
        <f>IF(K33="Overdue",IF(L33&gt;=Settings!$B$14,"Final notice",IF(L33&gt;=Settings!$B$13,"Firm reminder",IF(L33&gt;=Settings!$B$12,"Friendly nudge",""))),IF(K33="Due soon","Heads-up",""))</f>
      </c>
      <c r="O33" s="13">
        <f>IF(N33="",0,L33+1-ROW()/100000)</f>
      </c>
    </row>
    <row r="34" spans="1:15" x14ac:dyDescent="0.25">
      <c r="A34" s="5"/>
      <c r="B34" s="5"/>
      <c r="C34" s="7"/>
      <c r="D34" s="5"/>
      <c r="E34" s="6"/>
      <c r="F34" s="7"/>
      <c r="G34" s="6"/>
      <c r="H34" s="4">
        <f>IF(B34="","",IF(COUNTIF(Clients!$A$5:$A$1000,B34)=0,"Not in Clients",""))</f>
      </c>
      <c r="I34" s="12">
        <f>IF(OR(C34="",D34=""),"",C34+D34)</f>
      </c>
      <c r="J34" s="9">
        <f>IF(A34="","",E34-G34)</f>
      </c>
      <c r="K34" s="4">
        <f>IF(A34="","",IF(J34&lt;=0,"Paid",IF(I34="","Open",IF(Settings!$B$9&gt;I34,"Overdue",IF(I34-Settings!$B$9&lt;=Settings!$B$11,"Due soon","Open")))))</f>
      </c>
      <c r="L34" s="4">
        <f>IF(K34="Overdue",Settings!$B$9-I34,IF(A34="","",0))</f>
      </c>
      <c r="M34" s="4">
        <f>IF(A34="","",IF(AND(J34&lt;=0,F34&lt;&gt;""),F34-C34,""))</f>
      </c>
      <c r="N34" s="4">
        <f>IF(K34="Overdue",IF(L34&gt;=Settings!$B$14,"Final notice",IF(L34&gt;=Settings!$B$13,"Firm reminder",IF(L34&gt;=Settings!$B$12,"Friendly nudge",""))),IF(K34="Due soon","Heads-up",""))</f>
      </c>
      <c r="O34" s="13">
        <f>IF(N34="",0,L34+1-ROW()/100000)</f>
      </c>
    </row>
    <row r="35" spans="1:15" x14ac:dyDescent="0.25">
      <c r="A35" s="5"/>
      <c r="B35" s="5"/>
      <c r="C35" s="7"/>
      <c r="D35" s="5"/>
      <c r="E35" s="6"/>
      <c r="F35" s="7"/>
      <c r="G35" s="6"/>
      <c r="H35" s="4">
        <f>IF(B35="","",IF(COUNTIF(Clients!$A$5:$A$1000,B35)=0,"Not in Clients",""))</f>
      </c>
      <c r="I35" s="12">
        <f>IF(OR(C35="",D35=""),"",C35+D35)</f>
      </c>
      <c r="J35" s="9">
        <f>IF(A35="","",E35-G35)</f>
      </c>
      <c r="K35" s="4">
        <f>IF(A35="","",IF(J35&lt;=0,"Paid",IF(I35="","Open",IF(Settings!$B$9&gt;I35,"Overdue",IF(I35-Settings!$B$9&lt;=Settings!$B$11,"Due soon","Open")))))</f>
      </c>
      <c r="L35" s="4">
        <f>IF(K35="Overdue",Settings!$B$9-I35,IF(A35="","",0))</f>
      </c>
      <c r="M35" s="4">
        <f>IF(A35="","",IF(AND(J35&lt;=0,F35&lt;&gt;""),F35-C35,""))</f>
      </c>
      <c r="N35" s="4">
        <f>IF(K35="Overdue",IF(L35&gt;=Settings!$B$14,"Final notice",IF(L35&gt;=Settings!$B$13,"Firm reminder",IF(L35&gt;=Settings!$B$12,"Friendly nudge",""))),IF(K35="Due soon","Heads-up",""))</f>
      </c>
      <c r="O35" s="13">
        <f>IF(N35="",0,L35+1-ROW()/100000)</f>
      </c>
    </row>
    <row r="36" spans="1:15" x14ac:dyDescent="0.25">
      <c r="A36" s="5"/>
      <c r="B36" s="5"/>
      <c r="C36" s="7"/>
      <c r="D36" s="5"/>
      <c r="E36" s="6"/>
      <c r="F36" s="7"/>
      <c r="G36" s="6"/>
      <c r="H36" s="4">
        <f>IF(B36="","",IF(COUNTIF(Clients!$A$5:$A$1000,B36)=0,"Not in Clients",""))</f>
      </c>
      <c r="I36" s="12">
        <f>IF(OR(C36="",D36=""),"",C36+D36)</f>
      </c>
      <c r="J36" s="9">
        <f>IF(A36="","",E36-G36)</f>
      </c>
      <c r="K36" s="4">
        <f>IF(A36="","",IF(J36&lt;=0,"Paid",IF(I36="","Open",IF(Settings!$B$9&gt;I36,"Overdue",IF(I36-Settings!$B$9&lt;=Settings!$B$11,"Due soon","Open")))))</f>
      </c>
      <c r="L36" s="4">
        <f>IF(K36="Overdue",Settings!$B$9-I36,IF(A36="","",0))</f>
      </c>
      <c r="M36" s="4">
        <f>IF(A36="","",IF(AND(J36&lt;=0,F36&lt;&gt;""),F36-C36,""))</f>
      </c>
      <c r="N36" s="4">
        <f>IF(K36="Overdue",IF(L36&gt;=Settings!$B$14,"Final notice",IF(L36&gt;=Settings!$B$13,"Firm reminder",IF(L36&gt;=Settings!$B$12,"Friendly nudge",""))),IF(K36="Due soon","Heads-up",""))</f>
      </c>
      <c r="O36" s="13">
        <f>IF(N36="",0,L36+1-ROW()/100000)</f>
      </c>
    </row>
    <row r="37" spans="1:15" x14ac:dyDescent="0.25">
      <c r="A37" s="5"/>
      <c r="B37" s="5"/>
      <c r="C37" s="7"/>
      <c r="D37" s="5"/>
      <c r="E37" s="6"/>
      <c r="F37" s="7"/>
      <c r="G37" s="6"/>
      <c r="H37" s="4">
        <f>IF(B37="","",IF(COUNTIF(Clients!$A$5:$A$1000,B37)=0,"Not in Clients",""))</f>
      </c>
      <c r="I37" s="12">
        <f>IF(OR(C37="",D37=""),"",C37+D37)</f>
      </c>
      <c r="J37" s="9">
        <f>IF(A37="","",E37-G37)</f>
      </c>
      <c r="K37" s="4">
        <f>IF(A37="","",IF(J37&lt;=0,"Paid",IF(I37="","Open",IF(Settings!$B$9&gt;I37,"Overdue",IF(I37-Settings!$B$9&lt;=Settings!$B$11,"Due soon","Open")))))</f>
      </c>
      <c r="L37" s="4">
        <f>IF(K37="Overdue",Settings!$B$9-I37,IF(A37="","",0))</f>
      </c>
      <c r="M37" s="4">
        <f>IF(A37="","",IF(AND(J37&lt;=0,F37&lt;&gt;""),F37-C37,""))</f>
      </c>
      <c r="N37" s="4">
        <f>IF(K37="Overdue",IF(L37&gt;=Settings!$B$14,"Final notice",IF(L37&gt;=Settings!$B$13,"Firm reminder",IF(L37&gt;=Settings!$B$12,"Friendly nudge",""))),IF(K37="Due soon","Heads-up",""))</f>
      </c>
      <c r="O37" s="13">
        <f>IF(N37="",0,L37+1-ROW()/100000)</f>
      </c>
    </row>
    <row r="38" spans="1:15" x14ac:dyDescent="0.25">
      <c r="A38" s="5"/>
      <c r="B38" s="5"/>
      <c r="C38" s="7"/>
      <c r="D38" s="5"/>
      <c r="E38" s="6"/>
      <c r="F38" s="7"/>
      <c r="G38" s="6"/>
      <c r="H38" s="4">
        <f>IF(B38="","",IF(COUNTIF(Clients!$A$5:$A$1000,B38)=0,"Not in Clients",""))</f>
      </c>
      <c r="I38" s="12">
        <f>IF(OR(C38="",D38=""),"",C38+D38)</f>
      </c>
      <c r="J38" s="9">
        <f>IF(A38="","",E38-G38)</f>
      </c>
      <c r="K38" s="4">
        <f>IF(A38="","",IF(J38&lt;=0,"Paid",IF(I38="","Open",IF(Settings!$B$9&gt;I38,"Overdue",IF(I38-Settings!$B$9&lt;=Settings!$B$11,"Due soon","Open")))))</f>
      </c>
      <c r="L38" s="4">
        <f>IF(K38="Overdue",Settings!$B$9-I38,IF(A38="","",0))</f>
      </c>
      <c r="M38" s="4">
        <f>IF(A38="","",IF(AND(J38&lt;=0,F38&lt;&gt;""),F38-C38,""))</f>
      </c>
      <c r="N38" s="4">
        <f>IF(K38="Overdue",IF(L38&gt;=Settings!$B$14,"Final notice",IF(L38&gt;=Settings!$B$13,"Firm reminder",IF(L38&gt;=Settings!$B$12,"Friendly nudge",""))),IF(K38="Due soon","Heads-up",""))</f>
      </c>
      <c r="O38" s="13">
        <f>IF(N38="",0,L38+1-ROW()/100000)</f>
      </c>
    </row>
    <row r="39" spans="1:15" x14ac:dyDescent="0.25">
      <c r="A39" s="5"/>
      <c r="B39" s="5"/>
      <c r="C39" s="7"/>
      <c r="D39" s="5"/>
      <c r="E39" s="6"/>
      <c r="F39" s="7"/>
      <c r="G39" s="6"/>
      <c r="H39" s="4">
        <f>IF(B39="","",IF(COUNTIF(Clients!$A$5:$A$1000,B39)=0,"Not in Clients",""))</f>
      </c>
      <c r="I39" s="12">
        <f>IF(OR(C39="",D39=""),"",C39+D39)</f>
      </c>
      <c r="J39" s="9">
        <f>IF(A39="","",E39-G39)</f>
      </c>
      <c r="K39" s="4">
        <f>IF(A39="","",IF(J39&lt;=0,"Paid",IF(I39="","Open",IF(Settings!$B$9&gt;I39,"Overdue",IF(I39-Settings!$B$9&lt;=Settings!$B$11,"Due soon","Open")))))</f>
      </c>
      <c r="L39" s="4">
        <f>IF(K39="Overdue",Settings!$B$9-I39,IF(A39="","",0))</f>
      </c>
      <c r="M39" s="4">
        <f>IF(A39="","",IF(AND(J39&lt;=0,F39&lt;&gt;""),F39-C39,""))</f>
      </c>
      <c r="N39" s="4">
        <f>IF(K39="Overdue",IF(L39&gt;=Settings!$B$14,"Final notice",IF(L39&gt;=Settings!$B$13,"Firm reminder",IF(L39&gt;=Settings!$B$12,"Friendly nudge",""))),IF(K39="Due soon","Heads-up",""))</f>
      </c>
      <c r="O39" s="13">
        <f>IF(N39="",0,L39+1-ROW()/100000)</f>
      </c>
    </row>
    <row r="40" spans="1:15" x14ac:dyDescent="0.25">
      <c r="A40" s="5"/>
      <c r="B40" s="5"/>
      <c r="C40" s="7"/>
      <c r="D40" s="5"/>
      <c r="E40" s="6"/>
      <c r="F40" s="7"/>
      <c r="G40" s="6"/>
      <c r="H40" s="4">
        <f>IF(B40="","",IF(COUNTIF(Clients!$A$5:$A$1000,B40)=0,"Not in Clients",""))</f>
      </c>
      <c r="I40" s="12">
        <f>IF(OR(C40="",D40=""),"",C40+D40)</f>
      </c>
      <c r="J40" s="9">
        <f>IF(A40="","",E40-G40)</f>
      </c>
      <c r="K40" s="4">
        <f>IF(A40="","",IF(J40&lt;=0,"Paid",IF(I40="","Open",IF(Settings!$B$9&gt;I40,"Overdue",IF(I40-Settings!$B$9&lt;=Settings!$B$11,"Due soon","Open")))))</f>
      </c>
      <c r="L40" s="4">
        <f>IF(K40="Overdue",Settings!$B$9-I40,IF(A40="","",0))</f>
      </c>
      <c r="M40" s="4">
        <f>IF(A40="","",IF(AND(J40&lt;=0,F40&lt;&gt;""),F40-C40,""))</f>
      </c>
      <c r="N40" s="4">
        <f>IF(K40="Overdue",IF(L40&gt;=Settings!$B$14,"Final notice",IF(L40&gt;=Settings!$B$13,"Firm reminder",IF(L40&gt;=Settings!$B$12,"Friendly nudge",""))),IF(K40="Due soon","Heads-up",""))</f>
      </c>
      <c r="O40" s="13">
        <f>IF(N40="",0,L40+1-ROW()/100000)</f>
      </c>
    </row>
    <row r="41" spans="1:15" x14ac:dyDescent="0.25">
      <c r="A41" s="5"/>
      <c r="B41" s="5"/>
      <c r="C41" s="7"/>
      <c r="D41" s="5"/>
      <c r="E41" s="6"/>
      <c r="F41" s="7"/>
      <c r="G41" s="6"/>
      <c r="H41" s="4">
        <f>IF(B41="","",IF(COUNTIF(Clients!$A$5:$A$1000,B41)=0,"Not in Clients",""))</f>
      </c>
      <c r="I41" s="12">
        <f>IF(OR(C41="",D41=""),"",C41+D41)</f>
      </c>
      <c r="J41" s="9">
        <f>IF(A41="","",E41-G41)</f>
      </c>
      <c r="K41" s="4">
        <f>IF(A41="","",IF(J41&lt;=0,"Paid",IF(I41="","Open",IF(Settings!$B$9&gt;I41,"Overdue",IF(I41-Settings!$B$9&lt;=Settings!$B$11,"Due soon","Open")))))</f>
      </c>
      <c r="L41" s="4">
        <f>IF(K41="Overdue",Settings!$B$9-I41,IF(A41="","",0))</f>
      </c>
      <c r="M41" s="4">
        <f>IF(A41="","",IF(AND(J41&lt;=0,F41&lt;&gt;""),F41-C41,""))</f>
      </c>
      <c r="N41" s="4">
        <f>IF(K41="Overdue",IF(L41&gt;=Settings!$B$14,"Final notice",IF(L41&gt;=Settings!$B$13,"Firm reminder",IF(L41&gt;=Settings!$B$12,"Friendly nudge",""))),IF(K41="Due soon","Heads-up",""))</f>
      </c>
      <c r="O41" s="13">
        <f>IF(N41="",0,L41+1-ROW()/100000)</f>
      </c>
    </row>
    <row r="42" spans="1:15" x14ac:dyDescent="0.25">
      <c r="A42" s="5"/>
      <c r="B42" s="5"/>
      <c r="C42" s="7"/>
      <c r="D42" s="5"/>
      <c r="E42" s="6"/>
      <c r="F42" s="7"/>
      <c r="G42" s="6"/>
      <c r="H42" s="4">
        <f>IF(B42="","",IF(COUNTIF(Clients!$A$5:$A$1000,B42)=0,"Not in Clients",""))</f>
      </c>
      <c r="I42" s="12">
        <f>IF(OR(C42="",D42=""),"",C42+D42)</f>
      </c>
      <c r="J42" s="9">
        <f>IF(A42="","",E42-G42)</f>
      </c>
      <c r="K42" s="4">
        <f>IF(A42="","",IF(J42&lt;=0,"Paid",IF(I42="","Open",IF(Settings!$B$9&gt;I42,"Overdue",IF(I42-Settings!$B$9&lt;=Settings!$B$11,"Due soon","Open")))))</f>
      </c>
      <c r="L42" s="4">
        <f>IF(K42="Overdue",Settings!$B$9-I42,IF(A42="","",0))</f>
      </c>
      <c r="M42" s="4">
        <f>IF(A42="","",IF(AND(J42&lt;=0,F42&lt;&gt;""),F42-C42,""))</f>
      </c>
      <c r="N42" s="4">
        <f>IF(K42="Overdue",IF(L42&gt;=Settings!$B$14,"Final notice",IF(L42&gt;=Settings!$B$13,"Firm reminder",IF(L42&gt;=Settings!$B$12,"Friendly nudge",""))),IF(K42="Due soon","Heads-up",""))</f>
      </c>
      <c r="O42" s="13">
        <f>IF(N42="",0,L42+1-ROW()/100000)</f>
      </c>
    </row>
    <row r="43" spans="1:15" x14ac:dyDescent="0.25">
      <c r="A43" s="5"/>
      <c r="B43" s="5"/>
      <c r="C43" s="7"/>
      <c r="D43" s="5"/>
      <c r="E43" s="6"/>
      <c r="F43" s="7"/>
      <c r="G43" s="6"/>
      <c r="H43" s="4">
        <f>IF(B43="","",IF(COUNTIF(Clients!$A$5:$A$1000,B43)=0,"Not in Clients",""))</f>
      </c>
      <c r="I43" s="12">
        <f>IF(OR(C43="",D43=""),"",C43+D43)</f>
      </c>
      <c r="J43" s="9">
        <f>IF(A43="","",E43-G43)</f>
      </c>
      <c r="K43" s="4">
        <f>IF(A43="","",IF(J43&lt;=0,"Paid",IF(I43="","Open",IF(Settings!$B$9&gt;I43,"Overdue",IF(I43-Settings!$B$9&lt;=Settings!$B$11,"Due soon","Open")))))</f>
      </c>
      <c r="L43" s="4">
        <f>IF(K43="Overdue",Settings!$B$9-I43,IF(A43="","",0))</f>
      </c>
      <c r="M43" s="4">
        <f>IF(A43="","",IF(AND(J43&lt;=0,F43&lt;&gt;""),F43-C43,""))</f>
      </c>
      <c r="N43" s="4">
        <f>IF(K43="Overdue",IF(L43&gt;=Settings!$B$14,"Final notice",IF(L43&gt;=Settings!$B$13,"Firm reminder",IF(L43&gt;=Settings!$B$12,"Friendly nudge",""))),IF(K43="Due soon","Heads-up",""))</f>
      </c>
      <c r="O43" s="13">
        <f>IF(N43="",0,L43+1-ROW()/100000)</f>
      </c>
    </row>
    <row r="44" spans="1:15" x14ac:dyDescent="0.25">
      <c r="A44" s="5"/>
      <c r="B44" s="5"/>
      <c r="C44" s="7"/>
      <c r="D44" s="5"/>
      <c r="E44" s="6"/>
      <c r="F44" s="7"/>
      <c r="G44" s="6"/>
      <c r="H44" s="4">
        <f>IF(B44="","",IF(COUNTIF(Clients!$A$5:$A$1000,B44)=0,"Not in Clients",""))</f>
      </c>
      <c r="I44" s="12">
        <f>IF(OR(C44="",D44=""),"",C44+D44)</f>
      </c>
      <c r="J44" s="9">
        <f>IF(A44="","",E44-G44)</f>
      </c>
      <c r="K44" s="4">
        <f>IF(A44="","",IF(J44&lt;=0,"Paid",IF(I44="","Open",IF(Settings!$B$9&gt;I44,"Overdue",IF(I44-Settings!$B$9&lt;=Settings!$B$11,"Due soon","Open")))))</f>
      </c>
      <c r="L44" s="4">
        <f>IF(K44="Overdue",Settings!$B$9-I44,IF(A44="","",0))</f>
      </c>
      <c r="M44" s="4">
        <f>IF(A44="","",IF(AND(J44&lt;=0,F44&lt;&gt;""),F44-C44,""))</f>
      </c>
      <c r="N44" s="4">
        <f>IF(K44="Overdue",IF(L44&gt;=Settings!$B$14,"Final notice",IF(L44&gt;=Settings!$B$13,"Firm reminder",IF(L44&gt;=Settings!$B$12,"Friendly nudge",""))),IF(K44="Due soon","Heads-up",""))</f>
      </c>
      <c r="O44" s="13">
        <f>IF(N44="",0,L44+1-ROW()/100000)</f>
      </c>
    </row>
    <row r="45" spans="1:15" x14ac:dyDescent="0.25">
      <c r="A45" s="5"/>
      <c r="B45" s="5"/>
      <c r="C45" s="7"/>
      <c r="D45" s="5"/>
      <c r="E45" s="6"/>
      <c r="F45" s="7"/>
      <c r="G45" s="6"/>
      <c r="H45" s="4">
        <f>IF(B45="","",IF(COUNTIF(Clients!$A$5:$A$1000,B45)=0,"Not in Clients",""))</f>
      </c>
      <c r="I45" s="12">
        <f>IF(OR(C45="",D45=""),"",C45+D45)</f>
      </c>
      <c r="J45" s="9">
        <f>IF(A45="","",E45-G45)</f>
      </c>
      <c r="K45" s="4">
        <f>IF(A45="","",IF(J45&lt;=0,"Paid",IF(I45="","Open",IF(Settings!$B$9&gt;I45,"Overdue",IF(I45-Settings!$B$9&lt;=Settings!$B$11,"Due soon","Open")))))</f>
      </c>
      <c r="L45" s="4">
        <f>IF(K45="Overdue",Settings!$B$9-I45,IF(A45="","",0))</f>
      </c>
      <c r="M45" s="4">
        <f>IF(A45="","",IF(AND(J45&lt;=0,F45&lt;&gt;""),F45-C45,""))</f>
      </c>
      <c r="N45" s="4">
        <f>IF(K45="Overdue",IF(L45&gt;=Settings!$B$14,"Final notice",IF(L45&gt;=Settings!$B$13,"Firm reminder",IF(L45&gt;=Settings!$B$12,"Friendly nudge",""))),IF(K45="Due soon","Heads-up",""))</f>
      </c>
      <c r="O45" s="13">
        <f>IF(N45="",0,L45+1-ROW()/100000)</f>
      </c>
    </row>
    <row r="46" spans="1:15" x14ac:dyDescent="0.25">
      <c r="A46" s="5"/>
      <c r="B46" s="5"/>
      <c r="C46" s="7"/>
      <c r="D46" s="5"/>
      <c r="E46" s="6"/>
      <c r="F46" s="7"/>
      <c r="G46" s="6"/>
      <c r="H46" s="4">
        <f>IF(B46="","",IF(COUNTIF(Clients!$A$5:$A$1000,B46)=0,"Not in Clients",""))</f>
      </c>
      <c r="I46" s="12">
        <f>IF(OR(C46="",D46=""),"",C46+D46)</f>
      </c>
      <c r="J46" s="9">
        <f>IF(A46="","",E46-G46)</f>
      </c>
      <c r="K46" s="4">
        <f>IF(A46="","",IF(J46&lt;=0,"Paid",IF(I46="","Open",IF(Settings!$B$9&gt;I46,"Overdue",IF(I46-Settings!$B$9&lt;=Settings!$B$11,"Due soon","Open")))))</f>
      </c>
      <c r="L46" s="4">
        <f>IF(K46="Overdue",Settings!$B$9-I46,IF(A46="","",0))</f>
      </c>
      <c r="M46" s="4">
        <f>IF(A46="","",IF(AND(J46&lt;=0,F46&lt;&gt;""),F46-C46,""))</f>
      </c>
      <c r="N46" s="4">
        <f>IF(K46="Overdue",IF(L46&gt;=Settings!$B$14,"Final notice",IF(L46&gt;=Settings!$B$13,"Firm reminder",IF(L46&gt;=Settings!$B$12,"Friendly nudge",""))),IF(K46="Due soon","Heads-up",""))</f>
      </c>
      <c r="O46" s="13">
        <f>IF(N46="",0,L46+1-ROW()/100000)</f>
      </c>
    </row>
    <row r="47" spans="1:15" x14ac:dyDescent="0.25">
      <c r="A47" s="5"/>
      <c r="B47" s="5"/>
      <c r="C47" s="7"/>
      <c r="D47" s="5"/>
      <c r="E47" s="6"/>
      <c r="F47" s="7"/>
      <c r="G47" s="6"/>
      <c r="H47" s="4">
        <f>IF(B47="","",IF(COUNTIF(Clients!$A$5:$A$1000,B47)=0,"Not in Clients",""))</f>
      </c>
      <c r="I47" s="12">
        <f>IF(OR(C47="",D47=""),"",C47+D47)</f>
      </c>
      <c r="J47" s="9">
        <f>IF(A47="","",E47-G47)</f>
      </c>
      <c r="K47" s="4">
        <f>IF(A47="","",IF(J47&lt;=0,"Paid",IF(I47="","Open",IF(Settings!$B$9&gt;I47,"Overdue",IF(I47-Settings!$B$9&lt;=Settings!$B$11,"Due soon","Open")))))</f>
      </c>
      <c r="L47" s="4">
        <f>IF(K47="Overdue",Settings!$B$9-I47,IF(A47="","",0))</f>
      </c>
      <c r="M47" s="4">
        <f>IF(A47="","",IF(AND(J47&lt;=0,F47&lt;&gt;""),F47-C47,""))</f>
      </c>
      <c r="N47" s="4">
        <f>IF(K47="Overdue",IF(L47&gt;=Settings!$B$14,"Final notice",IF(L47&gt;=Settings!$B$13,"Firm reminder",IF(L47&gt;=Settings!$B$12,"Friendly nudge",""))),IF(K47="Due soon","Heads-up",""))</f>
      </c>
      <c r="O47" s="13">
        <f>IF(N47="",0,L47+1-ROW()/100000)</f>
      </c>
    </row>
    <row r="48" spans="1:15" x14ac:dyDescent="0.25">
      <c r="A48" s="5"/>
      <c r="B48" s="5"/>
      <c r="C48" s="7"/>
      <c r="D48" s="5"/>
      <c r="E48" s="6"/>
      <c r="F48" s="7"/>
      <c r="G48" s="6"/>
      <c r="H48" s="4">
        <f>IF(B48="","",IF(COUNTIF(Clients!$A$5:$A$1000,B48)=0,"Not in Clients",""))</f>
      </c>
      <c r="I48" s="12">
        <f>IF(OR(C48="",D48=""),"",C48+D48)</f>
      </c>
      <c r="J48" s="9">
        <f>IF(A48="","",E48-G48)</f>
      </c>
      <c r="K48" s="4">
        <f>IF(A48="","",IF(J48&lt;=0,"Paid",IF(I48="","Open",IF(Settings!$B$9&gt;I48,"Overdue",IF(I48-Settings!$B$9&lt;=Settings!$B$11,"Due soon","Open")))))</f>
      </c>
      <c r="L48" s="4">
        <f>IF(K48="Overdue",Settings!$B$9-I48,IF(A48="","",0))</f>
      </c>
      <c r="M48" s="4">
        <f>IF(A48="","",IF(AND(J48&lt;=0,F48&lt;&gt;""),F48-C48,""))</f>
      </c>
      <c r="N48" s="4">
        <f>IF(K48="Overdue",IF(L48&gt;=Settings!$B$14,"Final notice",IF(L48&gt;=Settings!$B$13,"Firm reminder",IF(L48&gt;=Settings!$B$12,"Friendly nudge",""))),IF(K48="Due soon","Heads-up",""))</f>
      </c>
      <c r="O48" s="13">
        <f>IF(N48="",0,L48+1-ROW()/100000)</f>
      </c>
    </row>
    <row r="49" spans="1:15" x14ac:dyDescent="0.25">
      <c r="A49" s="5"/>
      <c r="B49" s="5"/>
      <c r="C49" s="7"/>
      <c r="D49" s="5"/>
      <c r="E49" s="6"/>
      <c r="F49" s="7"/>
      <c r="G49" s="6"/>
      <c r="H49" s="4">
        <f>IF(B49="","",IF(COUNTIF(Clients!$A$5:$A$1000,B49)=0,"Not in Clients",""))</f>
      </c>
      <c r="I49" s="12">
        <f>IF(OR(C49="",D49=""),"",C49+D49)</f>
      </c>
      <c r="J49" s="9">
        <f>IF(A49="","",E49-G49)</f>
      </c>
      <c r="K49" s="4">
        <f>IF(A49="","",IF(J49&lt;=0,"Paid",IF(I49="","Open",IF(Settings!$B$9&gt;I49,"Overdue",IF(I49-Settings!$B$9&lt;=Settings!$B$11,"Due soon","Open")))))</f>
      </c>
      <c r="L49" s="4">
        <f>IF(K49="Overdue",Settings!$B$9-I49,IF(A49="","",0))</f>
      </c>
      <c r="M49" s="4">
        <f>IF(A49="","",IF(AND(J49&lt;=0,F49&lt;&gt;""),F49-C49,""))</f>
      </c>
      <c r="N49" s="4">
        <f>IF(K49="Overdue",IF(L49&gt;=Settings!$B$14,"Final notice",IF(L49&gt;=Settings!$B$13,"Firm reminder",IF(L49&gt;=Settings!$B$12,"Friendly nudge",""))),IF(K49="Due soon","Heads-up",""))</f>
      </c>
      <c r="O49" s="13">
        <f>IF(N49="",0,L49+1-ROW()/100000)</f>
      </c>
    </row>
    <row r="50" spans="1:15" x14ac:dyDescent="0.25">
      <c r="A50" s="5"/>
      <c r="B50" s="5"/>
      <c r="C50" s="7"/>
      <c r="D50" s="5"/>
      <c r="E50" s="6"/>
      <c r="F50" s="7"/>
      <c r="G50" s="6"/>
      <c r="H50" s="4">
        <f>IF(B50="","",IF(COUNTIF(Clients!$A$5:$A$1000,B50)=0,"Not in Clients",""))</f>
      </c>
      <c r="I50" s="12">
        <f>IF(OR(C50="",D50=""),"",C50+D50)</f>
      </c>
      <c r="J50" s="9">
        <f>IF(A50="","",E50-G50)</f>
      </c>
      <c r="K50" s="4">
        <f>IF(A50="","",IF(J50&lt;=0,"Paid",IF(I50="","Open",IF(Settings!$B$9&gt;I50,"Overdue",IF(I50-Settings!$B$9&lt;=Settings!$B$11,"Due soon","Open")))))</f>
      </c>
      <c r="L50" s="4">
        <f>IF(K50="Overdue",Settings!$B$9-I50,IF(A50="","",0))</f>
      </c>
      <c r="M50" s="4">
        <f>IF(A50="","",IF(AND(J50&lt;=0,F50&lt;&gt;""),F50-C50,""))</f>
      </c>
      <c r="N50" s="4">
        <f>IF(K50="Overdue",IF(L50&gt;=Settings!$B$14,"Final notice",IF(L50&gt;=Settings!$B$13,"Firm reminder",IF(L50&gt;=Settings!$B$12,"Friendly nudge",""))),IF(K50="Due soon","Heads-up",""))</f>
      </c>
      <c r="O50" s="13">
        <f>IF(N50="",0,L50+1-ROW()/100000)</f>
      </c>
    </row>
    <row r="51" spans="1:15" x14ac:dyDescent="0.25">
      <c r="A51" s="5"/>
      <c r="B51" s="5"/>
      <c r="C51" s="7"/>
      <c r="D51" s="5"/>
      <c r="E51" s="6"/>
      <c r="F51" s="7"/>
      <c r="G51" s="6"/>
      <c r="H51" s="4">
        <f>IF(B51="","",IF(COUNTIF(Clients!$A$5:$A$1000,B51)=0,"Not in Clients",""))</f>
      </c>
      <c r="I51" s="12">
        <f>IF(OR(C51="",D51=""),"",C51+D51)</f>
      </c>
      <c r="J51" s="9">
        <f>IF(A51="","",E51-G51)</f>
      </c>
      <c r="K51" s="4">
        <f>IF(A51="","",IF(J51&lt;=0,"Paid",IF(I51="","Open",IF(Settings!$B$9&gt;I51,"Overdue",IF(I51-Settings!$B$9&lt;=Settings!$B$11,"Due soon","Open")))))</f>
      </c>
      <c r="L51" s="4">
        <f>IF(K51="Overdue",Settings!$B$9-I51,IF(A51="","",0))</f>
      </c>
      <c r="M51" s="4">
        <f>IF(A51="","",IF(AND(J51&lt;=0,F51&lt;&gt;""),F51-C51,""))</f>
      </c>
      <c r="N51" s="4">
        <f>IF(K51="Overdue",IF(L51&gt;=Settings!$B$14,"Final notice",IF(L51&gt;=Settings!$B$13,"Firm reminder",IF(L51&gt;=Settings!$B$12,"Friendly nudge",""))),IF(K51="Due soon","Heads-up",""))</f>
      </c>
      <c r="O51" s="13">
        <f>IF(N51="",0,L51+1-ROW()/100000)</f>
      </c>
    </row>
    <row r="52" spans="1:15" x14ac:dyDescent="0.25">
      <c r="A52" s="5"/>
      <c r="B52" s="5"/>
      <c r="C52" s="7"/>
      <c r="D52" s="5"/>
      <c r="E52" s="6"/>
      <c r="F52" s="7"/>
      <c r="G52" s="6"/>
      <c r="H52" s="4">
        <f>IF(B52="","",IF(COUNTIF(Clients!$A$5:$A$1000,B52)=0,"Not in Clients",""))</f>
      </c>
      <c r="I52" s="12">
        <f>IF(OR(C52="",D52=""),"",C52+D52)</f>
      </c>
      <c r="J52" s="9">
        <f>IF(A52="","",E52-G52)</f>
      </c>
      <c r="K52" s="4">
        <f>IF(A52="","",IF(J52&lt;=0,"Paid",IF(I52="","Open",IF(Settings!$B$9&gt;I52,"Overdue",IF(I52-Settings!$B$9&lt;=Settings!$B$11,"Due soon","Open")))))</f>
      </c>
      <c r="L52" s="4">
        <f>IF(K52="Overdue",Settings!$B$9-I52,IF(A52="","",0))</f>
      </c>
      <c r="M52" s="4">
        <f>IF(A52="","",IF(AND(J52&lt;=0,F52&lt;&gt;""),F52-C52,""))</f>
      </c>
      <c r="N52" s="4">
        <f>IF(K52="Overdue",IF(L52&gt;=Settings!$B$14,"Final notice",IF(L52&gt;=Settings!$B$13,"Firm reminder",IF(L52&gt;=Settings!$B$12,"Friendly nudge",""))),IF(K52="Due soon","Heads-up",""))</f>
      </c>
      <c r="O52" s="13">
        <f>IF(N52="",0,L52+1-ROW()/100000)</f>
      </c>
    </row>
    <row r="53" spans="1:15" x14ac:dyDescent="0.25">
      <c r="A53" s="5"/>
      <c r="B53" s="5"/>
      <c r="C53" s="7"/>
      <c r="D53" s="5"/>
      <c r="E53" s="6"/>
      <c r="F53" s="7"/>
      <c r="G53" s="6"/>
      <c r="H53" s="4">
        <f>IF(B53="","",IF(COUNTIF(Clients!$A$5:$A$1000,B53)=0,"Not in Clients",""))</f>
      </c>
      <c r="I53" s="12">
        <f>IF(OR(C53="",D53=""),"",C53+D53)</f>
      </c>
      <c r="J53" s="9">
        <f>IF(A53="","",E53-G53)</f>
      </c>
      <c r="K53" s="4">
        <f>IF(A53="","",IF(J53&lt;=0,"Paid",IF(I53="","Open",IF(Settings!$B$9&gt;I53,"Overdue",IF(I53-Settings!$B$9&lt;=Settings!$B$11,"Due soon","Open")))))</f>
      </c>
      <c r="L53" s="4">
        <f>IF(K53="Overdue",Settings!$B$9-I53,IF(A53="","",0))</f>
      </c>
      <c r="M53" s="4">
        <f>IF(A53="","",IF(AND(J53&lt;=0,F53&lt;&gt;""),F53-C53,""))</f>
      </c>
      <c r="N53" s="4">
        <f>IF(K53="Overdue",IF(L53&gt;=Settings!$B$14,"Final notice",IF(L53&gt;=Settings!$B$13,"Firm reminder",IF(L53&gt;=Settings!$B$12,"Friendly nudge",""))),IF(K53="Due soon","Heads-up",""))</f>
      </c>
      <c r="O53" s="13">
        <f>IF(N53="",0,L53+1-ROW()/100000)</f>
      </c>
    </row>
    <row r="54" spans="1:15" x14ac:dyDescent="0.25">
      <c r="A54" s="5"/>
      <c r="B54" s="5"/>
      <c r="C54" s="7"/>
      <c r="D54" s="5"/>
      <c r="E54" s="6"/>
      <c r="F54" s="7"/>
      <c r="G54" s="6"/>
      <c r="H54" s="4">
        <f>IF(B54="","",IF(COUNTIF(Clients!$A$5:$A$1000,B54)=0,"Not in Clients",""))</f>
      </c>
      <c r="I54" s="12">
        <f>IF(OR(C54="",D54=""),"",C54+D54)</f>
      </c>
      <c r="J54" s="9">
        <f>IF(A54="","",E54-G54)</f>
      </c>
      <c r="K54" s="4">
        <f>IF(A54="","",IF(J54&lt;=0,"Paid",IF(I54="","Open",IF(Settings!$B$9&gt;I54,"Overdue",IF(I54-Settings!$B$9&lt;=Settings!$B$11,"Due soon","Open")))))</f>
      </c>
      <c r="L54" s="4">
        <f>IF(K54="Overdue",Settings!$B$9-I54,IF(A54="","",0))</f>
      </c>
      <c r="M54" s="4">
        <f>IF(A54="","",IF(AND(J54&lt;=0,F54&lt;&gt;""),F54-C54,""))</f>
      </c>
      <c r="N54" s="4">
        <f>IF(K54="Overdue",IF(L54&gt;=Settings!$B$14,"Final notice",IF(L54&gt;=Settings!$B$13,"Firm reminder",IF(L54&gt;=Settings!$B$12,"Friendly nudge",""))),IF(K54="Due soon","Heads-up",""))</f>
      </c>
      <c r="O54" s="13">
        <f>IF(N54="",0,L54+1-ROW()/100000)</f>
      </c>
    </row>
    <row r="55" spans="1:15" x14ac:dyDescent="0.25">
      <c r="A55" s="5"/>
      <c r="B55" s="5"/>
      <c r="C55" s="7"/>
      <c r="D55" s="5"/>
      <c r="E55" s="6"/>
      <c r="F55" s="7"/>
      <c r="G55" s="6"/>
      <c r="H55" s="4">
        <f>IF(B55="","",IF(COUNTIF(Clients!$A$5:$A$1000,B55)=0,"Not in Clients",""))</f>
      </c>
      <c r="I55" s="12">
        <f>IF(OR(C55="",D55=""),"",C55+D55)</f>
      </c>
      <c r="J55" s="9">
        <f>IF(A55="","",E55-G55)</f>
      </c>
      <c r="K55" s="4">
        <f>IF(A55="","",IF(J55&lt;=0,"Paid",IF(I55="","Open",IF(Settings!$B$9&gt;I55,"Overdue",IF(I55-Settings!$B$9&lt;=Settings!$B$11,"Due soon","Open")))))</f>
      </c>
      <c r="L55" s="4">
        <f>IF(K55="Overdue",Settings!$B$9-I55,IF(A55="","",0))</f>
      </c>
      <c r="M55" s="4">
        <f>IF(A55="","",IF(AND(J55&lt;=0,F55&lt;&gt;""),F55-C55,""))</f>
      </c>
      <c r="N55" s="4">
        <f>IF(K55="Overdue",IF(L55&gt;=Settings!$B$14,"Final notice",IF(L55&gt;=Settings!$B$13,"Firm reminder",IF(L55&gt;=Settings!$B$12,"Friendly nudge",""))),IF(K55="Due soon","Heads-up",""))</f>
      </c>
      <c r="O55" s="13">
        <f>IF(N55="",0,L55+1-ROW()/100000)</f>
      </c>
    </row>
    <row r="56" spans="1:15" x14ac:dyDescent="0.25">
      <c r="A56" s="5"/>
      <c r="B56" s="5"/>
      <c r="C56" s="7"/>
      <c r="D56" s="5"/>
      <c r="E56" s="6"/>
      <c r="F56" s="7"/>
      <c r="G56" s="6"/>
      <c r="H56" s="4">
        <f>IF(B56="","",IF(COUNTIF(Clients!$A$5:$A$1000,B56)=0,"Not in Clients",""))</f>
      </c>
      <c r="I56" s="12">
        <f>IF(OR(C56="",D56=""),"",C56+D56)</f>
      </c>
      <c r="J56" s="9">
        <f>IF(A56="","",E56-G56)</f>
      </c>
      <c r="K56" s="4">
        <f>IF(A56="","",IF(J56&lt;=0,"Paid",IF(I56="","Open",IF(Settings!$B$9&gt;I56,"Overdue",IF(I56-Settings!$B$9&lt;=Settings!$B$11,"Due soon","Open")))))</f>
      </c>
      <c r="L56" s="4">
        <f>IF(K56="Overdue",Settings!$B$9-I56,IF(A56="","",0))</f>
      </c>
      <c r="M56" s="4">
        <f>IF(A56="","",IF(AND(J56&lt;=0,F56&lt;&gt;""),F56-C56,""))</f>
      </c>
      <c r="N56" s="4">
        <f>IF(K56="Overdue",IF(L56&gt;=Settings!$B$14,"Final notice",IF(L56&gt;=Settings!$B$13,"Firm reminder",IF(L56&gt;=Settings!$B$12,"Friendly nudge",""))),IF(K56="Due soon","Heads-up",""))</f>
      </c>
      <c r="O56" s="13">
        <f>IF(N56="",0,L56+1-ROW()/100000)</f>
      </c>
    </row>
    <row r="57" spans="1:15" x14ac:dyDescent="0.25">
      <c r="A57" s="5"/>
      <c r="B57" s="5"/>
      <c r="C57" s="7"/>
      <c r="D57" s="5"/>
      <c r="E57" s="6"/>
      <c r="F57" s="7"/>
      <c r="G57" s="6"/>
      <c r="H57" s="4">
        <f>IF(B57="","",IF(COUNTIF(Clients!$A$5:$A$1000,B57)=0,"Not in Clients",""))</f>
      </c>
      <c r="I57" s="12">
        <f>IF(OR(C57="",D57=""),"",C57+D57)</f>
      </c>
      <c r="J57" s="9">
        <f>IF(A57="","",E57-G57)</f>
      </c>
      <c r="K57" s="4">
        <f>IF(A57="","",IF(J57&lt;=0,"Paid",IF(I57="","Open",IF(Settings!$B$9&gt;I57,"Overdue",IF(I57-Settings!$B$9&lt;=Settings!$B$11,"Due soon","Open")))))</f>
      </c>
      <c r="L57" s="4">
        <f>IF(K57="Overdue",Settings!$B$9-I57,IF(A57="","",0))</f>
      </c>
      <c r="M57" s="4">
        <f>IF(A57="","",IF(AND(J57&lt;=0,F57&lt;&gt;""),F57-C57,""))</f>
      </c>
      <c r="N57" s="4">
        <f>IF(K57="Overdue",IF(L57&gt;=Settings!$B$14,"Final notice",IF(L57&gt;=Settings!$B$13,"Firm reminder",IF(L57&gt;=Settings!$B$12,"Friendly nudge",""))),IF(K57="Due soon","Heads-up",""))</f>
      </c>
      <c r="O57" s="13">
        <f>IF(N57="",0,L57+1-ROW()/100000)</f>
      </c>
    </row>
    <row r="58" spans="1:15" x14ac:dyDescent="0.25">
      <c r="A58" s="5"/>
      <c r="B58" s="5"/>
      <c r="C58" s="7"/>
      <c r="D58" s="5"/>
      <c r="E58" s="6"/>
      <c r="F58" s="7"/>
      <c r="G58" s="6"/>
      <c r="H58" s="4">
        <f>IF(B58="","",IF(COUNTIF(Clients!$A$5:$A$1000,B58)=0,"Not in Clients",""))</f>
      </c>
      <c r="I58" s="12">
        <f>IF(OR(C58="",D58=""),"",C58+D58)</f>
      </c>
      <c r="J58" s="9">
        <f>IF(A58="","",E58-G58)</f>
      </c>
      <c r="K58" s="4">
        <f>IF(A58="","",IF(J58&lt;=0,"Paid",IF(I58="","Open",IF(Settings!$B$9&gt;I58,"Overdue",IF(I58-Settings!$B$9&lt;=Settings!$B$11,"Due soon","Open")))))</f>
      </c>
      <c r="L58" s="4">
        <f>IF(K58="Overdue",Settings!$B$9-I58,IF(A58="","",0))</f>
      </c>
      <c r="M58" s="4">
        <f>IF(A58="","",IF(AND(J58&lt;=0,F58&lt;&gt;""),F58-C58,""))</f>
      </c>
      <c r="N58" s="4">
        <f>IF(K58="Overdue",IF(L58&gt;=Settings!$B$14,"Final notice",IF(L58&gt;=Settings!$B$13,"Firm reminder",IF(L58&gt;=Settings!$B$12,"Friendly nudge",""))),IF(K58="Due soon","Heads-up",""))</f>
      </c>
      <c r="O58" s="13">
        <f>IF(N58="",0,L58+1-ROW()/100000)</f>
      </c>
    </row>
    <row r="59" spans="1:15" x14ac:dyDescent="0.25">
      <c r="A59" s="5"/>
      <c r="B59" s="5"/>
      <c r="C59" s="7"/>
      <c r="D59" s="5"/>
      <c r="E59" s="6"/>
      <c r="F59" s="7"/>
      <c r="G59" s="6"/>
      <c r="H59" s="4">
        <f>IF(B59="","",IF(COUNTIF(Clients!$A$5:$A$1000,B59)=0,"Not in Clients",""))</f>
      </c>
      <c r="I59" s="12">
        <f>IF(OR(C59="",D59=""),"",C59+D59)</f>
      </c>
      <c r="J59" s="9">
        <f>IF(A59="","",E59-G59)</f>
      </c>
      <c r="K59" s="4">
        <f>IF(A59="","",IF(J59&lt;=0,"Paid",IF(I59="","Open",IF(Settings!$B$9&gt;I59,"Overdue",IF(I59-Settings!$B$9&lt;=Settings!$B$11,"Due soon","Open")))))</f>
      </c>
      <c r="L59" s="4">
        <f>IF(K59="Overdue",Settings!$B$9-I59,IF(A59="","",0))</f>
      </c>
      <c r="M59" s="4">
        <f>IF(A59="","",IF(AND(J59&lt;=0,F59&lt;&gt;""),F59-C59,""))</f>
      </c>
      <c r="N59" s="4">
        <f>IF(K59="Overdue",IF(L59&gt;=Settings!$B$14,"Final notice",IF(L59&gt;=Settings!$B$13,"Firm reminder",IF(L59&gt;=Settings!$B$12,"Friendly nudge",""))),IF(K59="Due soon","Heads-up",""))</f>
      </c>
      <c r="O59" s="13">
        <f>IF(N59="",0,L59+1-ROW()/100000)</f>
      </c>
    </row>
    <row r="60" spans="1:15" x14ac:dyDescent="0.25">
      <c r="A60" s="5"/>
      <c r="B60" s="5"/>
      <c r="C60" s="7"/>
      <c r="D60" s="5"/>
      <c r="E60" s="6"/>
      <c r="F60" s="7"/>
      <c r="G60" s="6"/>
      <c r="H60" s="4">
        <f>IF(B60="","",IF(COUNTIF(Clients!$A$5:$A$1000,B60)=0,"Not in Clients",""))</f>
      </c>
      <c r="I60" s="12">
        <f>IF(OR(C60="",D60=""),"",C60+D60)</f>
      </c>
      <c r="J60" s="9">
        <f>IF(A60="","",E60-G60)</f>
      </c>
      <c r="K60" s="4">
        <f>IF(A60="","",IF(J60&lt;=0,"Paid",IF(I60="","Open",IF(Settings!$B$9&gt;I60,"Overdue",IF(I60-Settings!$B$9&lt;=Settings!$B$11,"Due soon","Open")))))</f>
      </c>
      <c r="L60" s="4">
        <f>IF(K60="Overdue",Settings!$B$9-I60,IF(A60="","",0))</f>
      </c>
      <c r="M60" s="4">
        <f>IF(A60="","",IF(AND(J60&lt;=0,F60&lt;&gt;""),F60-C60,""))</f>
      </c>
      <c r="N60" s="4">
        <f>IF(K60="Overdue",IF(L60&gt;=Settings!$B$14,"Final notice",IF(L60&gt;=Settings!$B$13,"Firm reminder",IF(L60&gt;=Settings!$B$12,"Friendly nudge",""))),IF(K60="Due soon","Heads-up",""))</f>
      </c>
      <c r="O60" s="13">
        <f>IF(N60="",0,L60+1-ROW()/100000)</f>
      </c>
    </row>
    <row r="61" spans="1:15" x14ac:dyDescent="0.25">
      <c r="A61" s="5"/>
      <c r="B61" s="5"/>
      <c r="C61" s="7"/>
      <c r="D61" s="5"/>
      <c r="E61" s="6"/>
      <c r="F61" s="7"/>
      <c r="G61" s="6"/>
      <c r="H61" s="4">
        <f>IF(B61="","",IF(COUNTIF(Clients!$A$5:$A$1000,B61)=0,"Not in Clients",""))</f>
      </c>
      <c r="I61" s="12">
        <f>IF(OR(C61="",D61=""),"",C61+D61)</f>
      </c>
      <c r="J61" s="9">
        <f>IF(A61="","",E61-G61)</f>
      </c>
      <c r="K61" s="4">
        <f>IF(A61="","",IF(J61&lt;=0,"Paid",IF(I61="","Open",IF(Settings!$B$9&gt;I61,"Overdue",IF(I61-Settings!$B$9&lt;=Settings!$B$11,"Due soon","Open")))))</f>
      </c>
      <c r="L61" s="4">
        <f>IF(K61="Overdue",Settings!$B$9-I61,IF(A61="","",0))</f>
      </c>
      <c r="M61" s="4">
        <f>IF(A61="","",IF(AND(J61&lt;=0,F61&lt;&gt;""),F61-C61,""))</f>
      </c>
      <c r="N61" s="4">
        <f>IF(K61="Overdue",IF(L61&gt;=Settings!$B$14,"Final notice",IF(L61&gt;=Settings!$B$13,"Firm reminder",IF(L61&gt;=Settings!$B$12,"Friendly nudge",""))),IF(K61="Due soon","Heads-up",""))</f>
      </c>
      <c r="O61" s="13">
        <f>IF(N61="",0,L61+1-ROW()/100000)</f>
      </c>
    </row>
    <row r="62" spans="1:15" x14ac:dyDescent="0.25">
      <c r="A62" s="5"/>
      <c r="B62" s="5"/>
      <c r="C62" s="7"/>
      <c r="D62" s="5"/>
      <c r="E62" s="6"/>
      <c r="F62" s="7"/>
      <c r="G62" s="6"/>
      <c r="H62" s="4">
        <f>IF(B62="","",IF(COUNTIF(Clients!$A$5:$A$1000,B62)=0,"Not in Clients",""))</f>
      </c>
      <c r="I62" s="12">
        <f>IF(OR(C62="",D62=""),"",C62+D62)</f>
      </c>
      <c r="J62" s="9">
        <f>IF(A62="","",E62-G62)</f>
      </c>
      <c r="K62" s="4">
        <f>IF(A62="","",IF(J62&lt;=0,"Paid",IF(I62="","Open",IF(Settings!$B$9&gt;I62,"Overdue",IF(I62-Settings!$B$9&lt;=Settings!$B$11,"Due soon","Open")))))</f>
      </c>
      <c r="L62" s="4">
        <f>IF(K62="Overdue",Settings!$B$9-I62,IF(A62="","",0))</f>
      </c>
      <c r="M62" s="4">
        <f>IF(A62="","",IF(AND(J62&lt;=0,F62&lt;&gt;""),F62-C62,""))</f>
      </c>
      <c r="N62" s="4">
        <f>IF(K62="Overdue",IF(L62&gt;=Settings!$B$14,"Final notice",IF(L62&gt;=Settings!$B$13,"Firm reminder",IF(L62&gt;=Settings!$B$12,"Friendly nudge",""))),IF(K62="Due soon","Heads-up",""))</f>
      </c>
      <c r="O62" s="13">
        <f>IF(N62="",0,L62+1-ROW()/100000)</f>
      </c>
    </row>
    <row r="63" spans="1:15" x14ac:dyDescent="0.25">
      <c r="A63" s="5"/>
      <c r="B63" s="5"/>
      <c r="C63" s="7"/>
      <c r="D63" s="5"/>
      <c r="E63" s="6"/>
      <c r="F63" s="7"/>
      <c r="G63" s="6"/>
      <c r="H63" s="4">
        <f>IF(B63="","",IF(COUNTIF(Clients!$A$5:$A$1000,B63)=0,"Not in Clients",""))</f>
      </c>
      <c r="I63" s="12">
        <f>IF(OR(C63="",D63=""),"",C63+D63)</f>
      </c>
      <c r="J63" s="9">
        <f>IF(A63="","",E63-G63)</f>
      </c>
      <c r="K63" s="4">
        <f>IF(A63="","",IF(J63&lt;=0,"Paid",IF(I63="","Open",IF(Settings!$B$9&gt;I63,"Overdue",IF(I63-Settings!$B$9&lt;=Settings!$B$11,"Due soon","Open")))))</f>
      </c>
      <c r="L63" s="4">
        <f>IF(K63="Overdue",Settings!$B$9-I63,IF(A63="","",0))</f>
      </c>
      <c r="M63" s="4">
        <f>IF(A63="","",IF(AND(J63&lt;=0,F63&lt;&gt;""),F63-C63,""))</f>
      </c>
      <c r="N63" s="4">
        <f>IF(K63="Overdue",IF(L63&gt;=Settings!$B$14,"Final notice",IF(L63&gt;=Settings!$B$13,"Firm reminder",IF(L63&gt;=Settings!$B$12,"Friendly nudge",""))),IF(K63="Due soon","Heads-up",""))</f>
      </c>
      <c r="O63" s="13">
        <f>IF(N63="",0,L63+1-ROW()/100000)</f>
      </c>
    </row>
    <row r="64" spans="1:15" x14ac:dyDescent="0.25">
      <c r="A64" s="5"/>
      <c r="B64" s="5"/>
      <c r="C64" s="7"/>
      <c r="D64" s="5"/>
      <c r="E64" s="6"/>
      <c r="F64" s="7"/>
      <c r="G64" s="6"/>
      <c r="H64" s="4">
        <f>IF(B64="","",IF(COUNTIF(Clients!$A$5:$A$1000,B64)=0,"Not in Clients",""))</f>
      </c>
      <c r="I64" s="12">
        <f>IF(OR(C64="",D64=""),"",C64+D64)</f>
      </c>
      <c r="J64" s="9">
        <f>IF(A64="","",E64-G64)</f>
      </c>
      <c r="K64" s="4">
        <f>IF(A64="","",IF(J64&lt;=0,"Paid",IF(I64="","Open",IF(Settings!$B$9&gt;I64,"Overdue",IF(I64-Settings!$B$9&lt;=Settings!$B$11,"Due soon","Open")))))</f>
      </c>
      <c r="L64" s="4">
        <f>IF(K64="Overdue",Settings!$B$9-I64,IF(A64="","",0))</f>
      </c>
      <c r="M64" s="4">
        <f>IF(A64="","",IF(AND(J64&lt;=0,F64&lt;&gt;""),F64-C64,""))</f>
      </c>
      <c r="N64" s="4">
        <f>IF(K64="Overdue",IF(L64&gt;=Settings!$B$14,"Final notice",IF(L64&gt;=Settings!$B$13,"Firm reminder",IF(L64&gt;=Settings!$B$12,"Friendly nudge",""))),IF(K64="Due soon","Heads-up",""))</f>
      </c>
      <c r="O64" s="13">
        <f>IF(N64="",0,L64+1-ROW()/100000)</f>
      </c>
    </row>
  </sheetData>
  <conditionalFormatting sqref="K5:K1000">
    <cfRule type="containsText" dxfId="10" priority="1">
      <formula>NOT(ISERROR(SEARCH("Paid",K5)))</formula>
    </cfRule>
  </conditionalFormatting>
  <conditionalFormatting sqref="K5:K1000">
    <cfRule type="containsText" dxfId="11" priority="1">
      <formula>NOT(ISERROR(SEARCH("Due soon",K5)))</formula>
    </cfRule>
  </conditionalFormatting>
  <conditionalFormatting sqref="K5:K1000">
    <cfRule type="containsText" dxfId="12" priority="1">
      <formula>NOT(ISERROR(SEARCH("Overdue",K5)))</formula>
    </cfRule>
  </conditionalFormatting>
  <conditionalFormatting sqref="N5:N1000">
    <cfRule type="containsText" dxfId="13" priority="1">
      <formula>NOT(ISERROR(SEARCH("Final notice",N5)))</formula>
    </cfRule>
  </conditionalFormatting>
  <conditionalFormatting sqref="H5:H1000">
    <cfRule type="containsText" dxfId="14" priority="1">
      <formula>NOT(ISERROR(SEARCH("Not in Clients",H5)))</formula>
    </cfRule>
  </conditionalFormatting>
  <dataValidations count="2">
    <dataValidation type="list" allowBlank="1" showErrorMessage="1" sqref="D10:D64">
      <formula1>"7,14,30,45,60"</formula1>
    </dataValidation>
    <dataValidation type="list" allowBlank="1" showErrorMessage="1" sqref="D5:D64">
      <formula1>"7,14,30,45,60"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customWidth="1"/>
    <col min="4" max="4" width="16" customWidth="1"/>
    <col min="5" max="6" width="26" customWidth="1"/>
    <col min="7" max="7" width="4" customWidth="1"/>
    <col min="8" max="8" width="10" customWidth="1"/>
  </cols>
  <sheetData>
    <row r="1" spans="1:1" x14ac:dyDescent="0.25">
      <c r="A1" s="1" t="s">
        <v>205</v>
      </c>
    </row>
    <row r="2" spans="1:1" x14ac:dyDescent="0.25">
      <c r="A2" s="2" t="s">
        <v>206</v>
      </c>
    </row>
    <row r="4" spans="1:8" x14ac:dyDescent="0.25">
      <c r="A4" s="3" t="s">
        <v>207</v>
      </c>
      <c r="B4" s="3" t="s">
        <v>131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  <c r="H4" s="3" t="s">
        <v>213</v>
      </c>
    </row>
    <row r="5" spans="1:8" x14ac:dyDescent="0.25">
      <c r="A5" s="4" t="s">
        <v>214</v>
      </c>
      <c r="B5" s="9">
        <f>SUMIFS(Invoices!$E$5:$E$1000,Invoices!$C$5:$C$1000,"&gt;="&amp;DATE($H$5,1,1),Invoices!$C$5:$C$1000,"&lt;"&amp;DATE($H$5,2,1))</f>
      </c>
      <c r="C5" s="9">
        <f>SUMIFS(Invoices!$G$5:$G$1000,Invoices!$F$5:$F$1000,"&gt;="&amp;DATE($H$5,1,1),Invoices!$F$5:$F$1000,"&lt;"&amp;DATE($H$5,2,1))</f>
      </c>
      <c r="D5" s="11">
        <f>IF(Settings!$B$8&gt;0,C5/Settings!$B$8,"")</f>
      </c>
      <c r="E5" s="4">
        <f>IF(D5="","",REPT("█",ROUND(MIN(D5,1)*20,0))&amp;REPT("░",20-ROUND(MIN(D5,1)*20,0)))</f>
      </c>
      <c r="F5" s="9">
        <f>SUMIFS(Projects!$J$5:$J$1000,Projects!$P$5:$P$1000,"&gt;="&amp;DATE($H$5,1,1),Projects!$P$5:$P$1000,"&lt;"&amp;DATE($H$5,2,1))</f>
      </c>
      <c r="G5" s="4"/>
      <c r="H5" s="5">
        <f>YEAR(Settings!$B$9)</f>
      </c>
    </row>
    <row r="6" spans="1:6" x14ac:dyDescent="0.25">
      <c r="A6" s="4" t="s">
        <v>215</v>
      </c>
      <c r="B6" s="9">
        <f>SUMIFS(Invoices!$E$5:$E$1000,Invoices!$C$5:$C$1000,"&gt;="&amp;DATE($H$5,2,1),Invoices!$C$5:$C$1000,"&lt;"&amp;DATE($H$5,3,1))</f>
      </c>
      <c r="C6" s="9">
        <f>SUMIFS(Invoices!$G$5:$G$1000,Invoices!$F$5:$F$1000,"&gt;="&amp;DATE($H$5,2,1),Invoices!$F$5:$F$1000,"&lt;"&amp;DATE($H$5,3,1))</f>
      </c>
      <c r="D6" s="11">
        <f>IF(Settings!$B$8&gt;0,C6/Settings!$B$8,"")</f>
      </c>
      <c r="E6" s="4">
        <f>IF(D6="","",REPT("█",ROUND(MIN(D6,1)*20,0))&amp;REPT("░",20-ROUND(MIN(D6,1)*20,0)))</f>
      </c>
      <c r="F6" s="9">
        <f>SUMIFS(Projects!$J$5:$J$1000,Projects!$P$5:$P$1000,"&gt;="&amp;DATE($H$5,2,1),Projects!$P$5:$P$1000,"&lt;"&amp;DATE($H$5,3,1))</f>
      </c>
    </row>
    <row r="7" spans="1:6" x14ac:dyDescent="0.25">
      <c r="A7" s="4" t="s">
        <v>216</v>
      </c>
      <c r="B7" s="9">
        <f>SUMIFS(Invoices!$E$5:$E$1000,Invoices!$C$5:$C$1000,"&gt;="&amp;DATE($H$5,3,1),Invoices!$C$5:$C$1000,"&lt;"&amp;DATE($H$5,4,1))</f>
      </c>
      <c r="C7" s="9">
        <f>SUMIFS(Invoices!$G$5:$G$1000,Invoices!$F$5:$F$1000,"&gt;="&amp;DATE($H$5,3,1),Invoices!$F$5:$F$1000,"&lt;"&amp;DATE($H$5,4,1))</f>
      </c>
      <c r="D7" s="11">
        <f>IF(Settings!$B$8&gt;0,C7/Settings!$B$8,"")</f>
      </c>
      <c r="E7" s="4">
        <f>IF(D7="","",REPT("█",ROUND(MIN(D7,1)*20,0))&amp;REPT("░",20-ROUND(MIN(D7,1)*20,0)))</f>
      </c>
      <c r="F7" s="9">
        <f>SUMIFS(Projects!$J$5:$J$1000,Projects!$P$5:$P$1000,"&gt;="&amp;DATE($H$5,3,1),Projects!$P$5:$P$1000,"&lt;"&amp;DATE($H$5,4,1))</f>
      </c>
    </row>
    <row r="8" spans="1:6" x14ac:dyDescent="0.25">
      <c r="A8" s="4" t="s">
        <v>217</v>
      </c>
      <c r="B8" s="9">
        <f>SUMIFS(Invoices!$E$5:$E$1000,Invoices!$C$5:$C$1000,"&gt;="&amp;DATE($H$5,4,1),Invoices!$C$5:$C$1000,"&lt;"&amp;DATE($H$5,5,1))</f>
      </c>
      <c r="C8" s="9">
        <f>SUMIFS(Invoices!$G$5:$G$1000,Invoices!$F$5:$F$1000,"&gt;="&amp;DATE($H$5,4,1),Invoices!$F$5:$F$1000,"&lt;"&amp;DATE($H$5,5,1))</f>
      </c>
      <c r="D8" s="11">
        <f>IF(Settings!$B$8&gt;0,C8/Settings!$B$8,"")</f>
      </c>
      <c r="E8" s="4">
        <f>IF(D8="","",REPT("█",ROUND(MIN(D8,1)*20,0))&amp;REPT("░",20-ROUND(MIN(D8,1)*20,0)))</f>
      </c>
      <c r="F8" s="9">
        <f>SUMIFS(Projects!$J$5:$J$1000,Projects!$P$5:$P$1000,"&gt;="&amp;DATE($H$5,4,1),Projects!$P$5:$P$1000,"&lt;"&amp;DATE($H$5,5,1))</f>
      </c>
    </row>
    <row r="9" spans="1:6" x14ac:dyDescent="0.25">
      <c r="A9" s="4" t="s">
        <v>218</v>
      </c>
      <c r="B9" s="9">
        <f>SUMIFS(Invoices!$E$5:$E$1000,Invoices!$C$5:$C$1000,"&gt;="&amp;DATE($H$5,5,1),Invoices!$C$5:$C$1000,"&lt;"&amp;DATE($H$5,6,1))</f>
      </c>
      <c r="C9" s="9">
        <f>SUMIFS(Invoices!$G$5:$G$1000,Invoices!$F$5:$F$1000,"&gt;="&amp;DATE($H$5,5,1),Invoices!$F$5:$F$1000,"&lt;"&amp;DATE($H$5,6,1))</f>
      </c>
      <c r="D9" s="11">
        <f>IF(Settings!$B$8&gt;0,C9/Settings!$B$8,"")</f>
      </c>
      <c r="E9" s="4">
        <f>IF(D9="","",REPT("█",ROUND(MIN(D9,1)*20,0))&amp;REPT("░",20-ROUND(MIN(D9,1)*20,0)))</f>
      </c>
      <c r="F9" s="9">
        <f>SUMIFS(Projects!$J$5:$J$1000,Projects!$P$5:$P$1000,"&gt;="&amp;DATE($H$5,5,1),Projects!$P$5:$P$1000,"&lt;"&amp;DATE($H$5,6,1))</f>
      </c>
    </row>
    <row r="10" spans="1:6" x14ac:dyDescent="0.25">
      <c r="A10" s="4" t="s">
        <v>219</v>
      </c>
      <c r="B10" s="9">
        <f>SUMIFS(Invoices!$E$5:$E$1000,Invoices!$C$5:$C$1000,"&gt;="&amp;DATE($H$5,6,1),Invoices!$C$5:$C$1000,"&lt;"&amp;DATE($H$5,7,1))</f>
      </c>
      <c r="C10" s="9">
        <f>SUMIFS(Invoices!$G$5:$G$1000,Invoices!$F$5:$F$1000,"&gt;="&amp;DATE($H$5,6,1),Invoices!$F$5:$F$1000,"&lt;"&amp;DATE($H$5,7,1))</f>
      </c>
      <c r="D10" s="11">
        <f>IF(Settings!$B$8&gt;0,C10/Settings!$B$8,"")</f>
      </c>
      <c r="E10" s="4">
        <f>IF(D10="","",REPT("█",ROUND(MIN(D10,1)*20,0))&amp;REPT("░",20-ROUND(MIN(D10,1)*20,0)))</f>
      </c>
      <c r="F10" s="9">
        <f>SUMIFS(Projects!$J$5:$J$1000,Projects!$P$5:$P$1000,"&gt;="&amp;DATE($H$5,6,1),Projects!$P$5:$P$1000,"&lt;"&amp;DATE($H$5,7,1))</f>
      </c>
    </row>
    <row r="11" spans="1:6" x14ac:dyDescent="0.25">
      <c r="A11" s="4" t="s">
        <v>220</v>
      </c>
      <c r="B11" s="9">
        <f>SUMIFS(Invoices!$E$5:$E$1000,Invoices!$C$5:$C$1000,"&gt;="&amp;DATE($H$5,7,1),Invoices!$C$5:$C$1000,"&lt;"&amp;DATE($H$5,8,1))</f>
      </c>
      <c r="C11" s="9">
        <f>SUMIFS(Invoices!$G$5:$G$1000,Invoices!$F$5:$F$1000,"&gt;="&amp;DATE($H$5,7,1),Invoices!$F$5:$F$1000,"&lt;"&amp;DATE($H$5,8,1))</f>
      </c>
      <c r="D11" s="11">
        <f>IF(Settings!$B$8&gt;0,C11/Settings!$B$8,"")</f>
      </c>
      <c r="E11" s="4">
        <f>IF(D11="","",REPT("█",ROUND(MIN(D11,1)*20,0))&amp;REPT("░",20-ROUND(MIN(D11,1)*20,0)))</f>
      </c>
      <c r="F11" s="9">
        <f>SUMIFS(Projects!$J$5:$J$1000,Projects!$P$5:$P$1000,"&gt;="&amp;DATE($H$5,7,1),Projects!$P$5:$P$1000,"&lt;"&amp;DATE($H$5,8,1))</f>
      </c>
    </row>
    <row r="12" spans="1:6" x14ac:dyDescent="0.25">
      <c r="A12" s="4" t="s">
        <v>221</v>
      </c>
      <c r="B12" s="9">
        <f>SUMIFS(Invoices!$E$5:$E$1000,Invoices!$C$5:$C$1000,"&gt;="&amp;DATE($H$5,8,1),Invoices!$C$5:$C$1000,"&lt;"&amp;DATE($H$5,9,1))</f>
      </c>
      <c r="C12" s="9">
        <f>SUMIFS(Invoices!$G$5:$G$1000,Invoices!$F$5:$F$1000,"&gt;="&amp;DATE($H$5,8,1),Invoices!$F$5:$F$1000,"&lt;"&amp;DATE($H$5,9,1))</f>
      </c>
      <c r="D12" s="11">
        <f>IF(Settings!$B$8&gt;0,C12/Settings!$B$8,"")</f>
      </c>
      <c r="E12" s="4">
        <f>IF(D12="","",REPT("█",ROUND(MIN(D12,1)*20,0))&amp;REPT("░",20-ROUND(MIN(D12,1)*20,0)))</f>
      </c>
      <c r="F12" s="9">
        <f>SUMIFS(Projects!$J$5:$J$1000,Projects!$P$5:$P$1000,"&gt;="&amp;DATE($H$5,8,1),Projects!$P$5:$P$1000,"&lt;"&amp;DATE($H$5,9,1))</f>
      </c>
    </row>
    <row r="13" spans="1:6" x14ac:dyDescent="0.25">
      <c r="A13" s="4" t="s">
        <v>222</v>
      </c>
      <c r="B13" s="9">
        <f>SUMIFS(Invoices!$E$5:$E$1000,Invoices!$C$5:$C$1000,"&gt;="&amp;DATE($H$5,9,1),Invoices!$C$5:$C$1000,"&lt;"&amp;DATE($H$5,10,1))</f>
      </c>
      <c r="C13" s="9">
        <f>SUMIFS(Invoices!$G$5:$G$1000,Invoices!$F$5:$F$1000,"&gt;="&amp;DATE($H$5,9,1),Invoices!$F$5:$F$1000,"&lt;"&amp;DATE($H$5,10,1))</f>
      </c>
      <c r="D13" s="11">
        <f>IF(Settings!$B$8&gt;0,C13/Settings!$B$8,"")</f>
      </c>
      <c r="E13" s="4">
        <f>IF(D13="","",REPT("█",ROUND(MIN(D13,1)*20,0))&amp;REPT("░",20-ROUND(MIN(D13,1)*20,0)))</f>
      </c>
      <c r="F13" s="9">
        <f>SUMIFS(Projects!$J$5:$J$1000,Projects!$P$5:$P$1000,"&gt;="&amp;DATE($H$5,9,1),Projects!$P$5:$P$1000,"&lt;"&amp;DATE($H$5,10,1))</f>
      </c>
    </row>
    <row r="14" spans="1:6" x14ac:dyDescent="0.25">
      <c r="A14" s="4" t="s">
        <v>223</v>
      </c>
      <c r="B14" s="9">
        <f>SUMIFS(Invoices!$E$5:$E$1000,Invoices!$C$5:$C$1000,"&gt;="&amp;DATE($H$5,10,1),Invoices!$C$5:$C$1000,"&lt;"&amp;DATE($H$5,11,1))</f>
      </c>
      <c r="C14" s="9">
        <f>SUMIFS(Invoices!$G$5:$G$1000,Invoices!$F$5:$F$1000,"&gt;="&amp;DATE($H$5,10,1),Invoices!$F$5:$F$1000,"&lt;"&amp;DATE($H$5,11,1))</f>
      </c>
      <c r="D14" s="11">
        <f>IF(Settings!$B$8&gt;0,C14/Settings!$B$8,"")</f>
      </c>
      <c r="E14" s="4">
        <f>IF(D14="","",REPT("█",ROUND(MIN(D14,1)*20,0))&amp;REPT("░",20-ROUND(MIN(D14,1)*20,0)))</f>
      </c>
      <c r="F14" s="9">
        <f>SUMIFS(Projects!$J$5:$J$1000,Projects!$P$5:$P$1000,"&gt;="&amp;DATE($H$5,10,1),Projects!$P$5:$P$1000,"&lt;"&amp;DATE($H$5,11,1))</f>
      </c>
    </row>
    <row r="15" spans="1:6" x14ac:dyDescent="0.25">
      <c r="A15" s="4" t="s">
        <v>224</v>
      </c>
      <c r="B15" s="9">
        <f>SUMIFS(Invoices!$E$5:$E$1000,Invoices!$C$5:$C$1000,"&gt;="&amp;DATE($H$5,11,1),Invoices!$C$5:$C$1000,"&lt;"&amp;DATE($H$5,12,1))</f>
      </c>
      <c r="C15" s="9">
        <f>SUMIFS(Invoices!$G$5:$G$1000,Invoices!$F$5:$F$1000,"&gt;="&amp;DATE($H$5,11,1),Invoices!$F$5:$F$1000,"&lt;"&amp;DATE($H$5,12,1))</f>
      </c>
      <c r="D15" s="11">
        <f>IF(Settings!$B$8&gt;0,C15/Settings!$B$8,"")</f>
      </c>
      <c r="E15" s="4">
        <f>IF(D15="","",REPT("█",ROUND(MIN(D15,1)*20,0))&amp;REPT("░",20-ROUND(MIN(D15,1)*20,0)))</f>
      </c>
      <c r="F15" s="9">
        <f>SUMIFS(Projects!$J$5:$J$1000,Projects!$P$5:$P$1000,"&gt;="&amp;DATE($H$5,11,1),Projects!$P$5:$P$1000,"&lt;"&amp;DATE($H$5,12,1))</f>
      </c>
    </row>
    <row r="16" spans="1:6" x14ac:dyDescent="0.25">
      <c r="A16" s="4" t="s">
        <v>225</v>
      </c>
      <c r="B16" s="9">
        <f>SUMIFS(Invoices!$E$5:$E$1000,Invoices!$C$5:$C$1000,"&gt;="&amp;DATE($H$5,12,1),Invoices!$C$5:$C$1000,"&lt;"&amp;DATE($H$5+1,1,1))</f>
      </c>
      <c r="C16" s="9">
        <f>SUMIFS(Invoices!$G$5:$G$1000,Invoices!$F$5:$F$1000,"&gt;="&amp;DATE($H$5,12,1),Invoices!$F$5:$F$1000,"&lt;"&amp;DATE($H$5+1,1,1))</f>
      </c>
      <c r="D16" s="11">
        <f>IF(Settings!$B$8&gt;0,C16/Settings!$B$8,"")</f>
      </c>
      <c r="E16" s="4">
        <f>IF(D16="","",REPT("█",ROUND(MIN(D16,1)*20,0))&amp;REPT("░",20-ROUND(MIN(D16,1)*20,0)))</f>
      </c>
      <c r="F16" s="9">
        <f>SUMIFS(Projects!$J$5:$J$1000,Projects!$P$5:$P$1000,"&gt;="&amp;DATE($H$5,12,1),Projects!$P$5:$P$1000,"&lt;"&amp;DATE($H$5+1,1,1))</f>
      </c>
    </row>
    <row r="17" spans="1:6" x14ac:dyDescent="0.25">
      <c r="A17" s="4" t="s">
        <v>226</v>
      </c>
      <c r="B17" s="9">
        <f>SUM(B5:B16)</f>
      </c>
      <c r="C17" s="9">
        <f>SUM(C5:C16)</f>
      </c>
      <c r="D17" s="11"/>
      <c r="E17" s="4"/>
      <c r="F17" s="9">
        <f>SUM(F5:F16)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6" customWidth="1"/>
    <col min="3" max="3" width="26" customWidth="1"/>
    <col min="4" max="4" width="36" customWidth="1"/>
  </cols>
  <sheetData>
    <row r="1" spans="1:1" x14ac:dyDescent="0.25">
      <c r="A1" s="1" t="s">
        <v>227</v>
      </c>
    </row>
    <row r="2" spans="1:1" x14ac:dyDescent="0.25">
      <c r="A2" s="2" t="s">
        <v>228</v>
      </c>
    </row>
    <row r="4" spans="1:4" x14ac:dyDescent="0.25">
      <c r="A4" s="3" t="s">
        <v>229</v>
      </c>
      <c r="B4" s="3" t="s">
        <v>60</v>
      </c>
      <c r="C4" s="3" t="s">
        <v>230</v>
      </c>
      <c r="D4" s="3" t="s">
        <v>231</v>
      </c>
    </row>
    <row r="5" spans="1:4" x14ac:dyDescent="0.25">
      <c r="A5" s="4" t="s">
        <v>71</v>
      </c>
      <c r="B5" s="9">
        <f>Settings!$B$8</f>
      </c>
      <c r="D5" s="14"/>
    </row>
    <row r="6" spans="1:4" x14ac:dyDescent="0.25">
      <c r="A6" s="4" t="s">
        <v>232</v>
      </c>
      <c r="B6" s="9">
        <f>SUMIFS(Invoices!$G$5:$G$1000,Invoices!$F$5:$F$1000,"&gt;="&amp;DATE(YEAR(Settings!$B$9),MONTH(Settings!$B$9),1),Invoices!$F$5:$F$1000,"&lt;="&amp;Settings!$B$9)</f>
      </c>
      <c r="D6" s="14"/>
    </row>
    <row r="7" spans="1:4" x14ac:dyDescent="0.25">
      <c r="A7" s="4" t="s">
        <v>233</v>
      </c>
      <c r="B7" s="9">
        <f>SUMIFS(Invoices!$G$5:$G$1000,Invoices!$F$5:$F$1000,"&gt;="&amp;(Settings!$B$9-29),Invoices!$F$5:$F$1000,"&lt;="&amp;Settings!$B$9)</f>
      </c>
      <c r="D7" s="14"/>
    </row>
    <row r="8" spans="1:4" x14ac:dyDescent="0.25">
      <c r="A8" s="4" t="s">
        <v>234</v>
      </c>
      <c r="B8" s="11">
        <f>IF(B5&gt;0,B7/B5,"")</f>
      </c>
      <c r="C8" s="4">
        <f>IF(B8="","",REPT("█",ROUND(MIN(B8,1)*20,0))&amp;REPT("░",20-ROUND(MIN(B8,1)*20,0)))</f>
      </c>
      <c r="D8" s="14"/>
    </row>
    <row r="9" spans="1:4" x14ac:dyDescent="0.25">
      <c r="A9" s="4" t="s">
        <v>235</v>
      </c>
      <c r="B9" s="11">
        <f>IF(B5&gt;0,B6/B5,"")</f>
      </c>
      <c r="C9" s="4">
        <f>IF(B9="","",REPT("█",ROUND(MIN(B9,1)*20,0))&amp;REPT("░",20-ROUND(MIN(B9,1)*20,0)))</f>
      </c>
      <c r="D9" s="14"/>
    </row>
    <row r="10" spans="1:4" x14ac:dyDescent="0.25">
      <c r="A10" s="4" t="s">
        <v>236</v>
      </c>
      <c r="B10" s="9">
        <f>SUM(Invoices!$J$5:$J$1000)</f>
      </c>
      <c r="D10" s="14"/>
    </row>
    <row r="11" spans="1:4" x14ac:dyDescent="0.25">
      <c r="A11" s="4" t="s">
        <v>237</v>
      </c>
      <c r="B11" s="9">
        <f>SUMIF(Invoices!$K$5:$K$1000,"Overdue",Invoices!$J$5:$J$1000)</f>
      </c>
      <c r="D11" s="14"/>
    </row>
    <row r="12" spans="1:4" x14ac:dyDescent="0.25">
      <c r="A12" s="4" t="s">
        <v>238</v>
      </c>
      <c r="B12" s="15">
        <f>COUNTIF(Invoices!$K$5:$K$1000,"Overdue")</f>
      </c>
      <c r="D12" s="14"/>
    </row>
    <row r="13" spans="1:4" x14ac:dyDescent="0.25">
      <c r="A13" s="4" t="s">
        <v>239</v>
      </c>
      <c r="B13" s="9">
        <f>SUMIFS(Invoices!$J$5:$J$1000,Invoices!$I$5:$I$1000,"&gt;="&amp;Settings!$B$9,Invoices!$I$5:$I$1000,"&lt;="&amp;(Settings!$B$9+7))</f>
      </c>
      <c r="D13" s="14"/>
    </row>
    <row r="14" spans="1:4" x14ac:dyDescent="0.25">
      <c r="A14" s="4" t="s">
        <v>240</v>
      </c>
      <c r="B14" s="15">
        <f>COUNTIF(Invoices!$O$5:$O$1000,"&gt;0")</f>
      </c>
      <c r="D14" s="14"/>
    </row>
    <row r="15" spans="1:4" x14ac:dyDescent="0.25">
      <c r="A15" s="4" t="s">
        <v>241</v>
      </c>
      <c r="B15" s="10">
        <f>IF(COUNT(Invoices!$M$5:$M$1000)=0,"–",AVERAGE(Invoices!$M$5:$M$1000))</f>
      </c>
      <c r="D15" s="14"/>
    </row>
    <row r="16" spans="1:4" x14ac:dyDescent="0.25">
      <c r="A16" s="4" t="s">
        <v>242</v>
      </c>
      <c r="B16" s="9">
        <f>SUM(Invoices!$E$5:$E$1000)</f>
      </c>
      <c r="D16" s="14"/>
    </row>
    <row r="17" spans="1:4" x14ac:dyDescent="0.25">
      <c r="A17" s="4" t="s">
        <v>243</v>
      </c>
      <c r="B17" s="9">
        <f>SUM(Invoices!$G$5:$G$1000)</f>
      </c>
      <c r="D17" s="14"/>
    </row>
    <row r="18" spans="1:4" x14ac:dyDescent="0.25">
      <c r="A18" s="4" t="s">
        <v>244</v>
      </c>
      <c r="B18" s="9">
        <f>SUM(Projects!$J$5:$J$1000)</f>
      </c>
      <c r="D18" s="14"/>
    </row>
    <row r="19" spans="1:4" x14ac:dyDescent="0.25">
      <c r="A19" s="4" t="s">
        <v>245</v>
      </c>
      <c r="B19" s="9">
        <f>SUMIF(Projects!$C$5:$C$1000,"Won",Projects!$D$5:$D$1000)+SUMIF(Projects!$C$5:$C$1000,"In progress",Projects!$D$5:$D$1000)</f>
      </c>
      <c r="D19" s="14"/>
    </row>
    <row r="20" spans="1:4" x14ac:dyDescent="0.25">
      <c r="A20" s="4" t="s">
        <v>246</v>
      </c>
      <c r="B20" s="9">
        <f>IF(SUMIF(Projects!$C$5:$C$1000,"Done",Projects!$F$5:$F$1000)&gt;0,SUMIF(Projects!$C$5:$C$1000,"Done",Projects!$D$5:$D$1000)/SUMIF(Projects!$C$5:$C$1000,"Done",Projects!$F$5:$F$1000),"–")</f>
      </c>
      <c r="D20" s="14"/>
    </row>
    <row r="21" spans="1:4" x14ac:dyDescent="0.25">
      <c r="A21" s="4" t="s">
        <v>247</v>
      </c>
      <c r="B21" s="9">
        <f>IF(SUMIF(Projects!$C$5:$C$1000,"Done",Projects!$E$5:$E$1000)&gt;0,SUMIF(Projects!$C$5:$C$1000,"Done",Projects!$D$5:$D$1000)/SUMIF(Projects!$C$5:$C$1000,"Done",Projects!$E$5:$E$1000),"–")</f>
      </c>
      <c r="D21" s="14"/>
    </row>
    <row r="22" spans="1:4" x14ac:dyDescent="0.25">
      <c r="A22" s="4" t="s">
        <v>248</v>
      </c>
      <c r="B22" s="15">
        <f>COUNTIF(Projects!$N$5:$N$1000,"Follow up")</f>
      </c>
      <c r="D22" s="14"/>
    </row>
    <row r="23" spans="1:4" x14ac:dyDescent="0.25">
      <c r="A23" s="4" t="s">
        <v>4</v>
      </c>
      <c r="D23" s="14"/>
    </row>
    <row r="24" spans="1:4" x14ac:dyDescent="0.25">
      <c r="A24" s="4">
        <f>IF(B18&lt;B5,"→ Weighted pipeline is below your monthly goal: send outreach and follow up on proposals this week.","")</f>
      </c>
      <c r="D24" s="14"/>
    </row>
    <row r="25" spans="1:4" x14ac:dyDescent="0.25">
      <c r="A25" s="4">
        <f>IF(B10&gt;B5,"→ Outstanding is above your monthly goal: ask new clients for a 50% deposit.","")</f>
      </c>
      <c r="D25" s="14"/>
    </row>
    <row r="26" spans="1:4" x14ac:dyDescent="0.25">
      <c r="A26" s="4" t="s">
        <v>4</v>
      </c>
      <c r="D26" s="14"/>
    </row>
    <row r="27" spans="1:4" x14ac:dyDescent="0.25">
      <c r="A27" s="4" t="s">
        <v>249</v>
      </c>
      <c r="B27" s="9">
        <f>CHOOSE(MONTH(DATE(YEAR(Settings!$B$9),MONTH(Settings!$B$9)+1,1)),"Jan","Feb","Mar","Apr","May","Jun","Jul","Aug","Sep","Oct","Nov","Dec")&amp;" "&amp;YEAR(DATE(YEAR(Settings!$B$9),MONTH(Settings!$B$9)+1,1))</f>
      </c>
      <c r="D27" s="14"/>
    </row>
    <row r="28" spans="1:4" x14ac:dyDescent="0.25">
      <c r="A28" s="4" t="s">
        <v>250</v>
      </c>
      <c r="B28" s="9">
        <f>SUMIFS(Projects!$J$5:$J$1000,Projects!$P$5:$P$1000,"&gt;="&amp;DATE(YEAR(Settings!$B$9),MONTH(Settings!$B$9)+1,1),Projects!$P$5:$P$1000,"&lt;"&amp;DATE(YEAR(Settings!$B$9),MONTH(Settings!$B$9)+2,1))</f>
      </c>
      <c r="D28" s="14"/>
    </row>
    <row r="29" spans="1:4" x14ac:dyDescent="0.25">
      <c r="A29" s="4" t="s">
        <v>251</v>
      </c>
      <c r="B29" s="11">
        <f>IF(B5&gt;0,B28/B5,"")</f>
      </c>
      <c r="C29" s="4">
        <f>IF(B29="","",REPT("█",ROUND(MIN(B29,1)*20,0))&amp;REPT("░",20-ROUND(MIN(B29,1)*20,0)))</f>
      </c>
      <c r="D29" s="14"/>
    </row>
    <row r="30" spans="1:4" x14ac:dyDescent="0.25">
      <c r="A30" s="4" t="s">
        <v>252</v>
      </c>
      <c r="B30" s="9">
        <f>IF(B5&gt;B28,B5-B28,0)</f>
      </c>
      <c r="D30" s="14"/>
    </row>
    <row r="31" spans="1:4" x14ac:dyDescent="0.25">
      <c r="A31" s="4" t="s">
        <v>253</v>
      </c>
      <c r="B31" s="15">
        <f>COUNTIF(Projects!$C$5:$C$1000,"Lead")+COUNTIF(Projects!$C$5:$C$1000,"Proposal sent")-COUNTIFS(Projects!$C$5:$C$1000,"Lead",Projects!$P$5:$P$1000,"&lt;&gt;")-COUNTIFS(Projects!$C$5:$C$1000,"Proposal sent",Projects!$P$5:$P$1000,"&lt;&gt;")</f>
      </c>
      <c r="D31" s="14"/>
    </row>
    <row r="32" spans="1:4" x14ac:dyDescent="0.25">
      <c r="A32" s="4">
        <f>IF(B31&gt;0,"→ Add an Expected close date (Projects column P) to every open lead and proposal.","")</f>
      </c>
      <c r="D32" s="14"/>
    </row>
    <row r="33" spans="4:4" x14ac:dyDescent="0.25">
      <c r="D33" s="14"/>
    </row>
    <row r="34" spans="4:4" x14ac:dyDescent="0.25">
      <c r="D34" s="14"/>
    </row>
    <row r="35" spans="4:4" x14ac:dyDescent="0.25">
      <c r="D35" s="14"/>
    </row>
    <row r="36" spans="4:4" x14ac:dyDescent="0.25">
      <c r="D36" s="14"/>
    </row>
    <row r="37" spans="4:4" x14ac:dyDescent="0.25">
      <c r="D37" s="14"/>
    </row>
    <row r="38" spans="4:4" x14ac:dyDescent="0.25">
      <c r="D38" s="14"/>
    </row>
    <row r="39" spans="4:4" x14ac:dyDescent="0.25">
      <c r="D39" s="14"/>
    </row>
    <row r="40" spans="4:4" x14ac:dyDescent="0.25">
      <c r="D40" s="14"/>
    </row>
  </sheetData>
  <sheetProtection sheet="1"/>
  <conditionalFormatting sqref="B8:B9">
    <cfRule type="cellIs" dxfId="15" priority="1" operator="between">
      <formula>1</formula>
      <formula>1000</formula>
    </cfRule>
  </conditionalFormatting>
  <conditionalFormatting sqref="B29">
    <cfRule type="cellIs" dxfId="16" priority="1" operator="between">
      <formula>1</formula>
      <formula>1000</formula>
    </cfRule>
  </conditionalFormatting>
  <conditionalFormatting sqref="A24:A32">
    <cfRule type="containsText" dxfId="17" priority="1">
      <formula>NOT(ISERROR(SEARCH("→",A24)))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10" customWidth="1"/>
    <col min="4" max="4" width="18" customWidth="1"/>
    <col min="5" max="6" width="11" customWidth="1"/>
    <col min="7" max="7" width="8" customWidth="1"/>
    <col min="8" max="8" width="13" customWidth="1"/>
    <col min="9" max="9" width="15" customWidth="1"/>
    <col min="10" max="10" width="12" customWidth="1"/>
    <col min="11" max="11" width="13" customWidth="1"/>
    <col min="12" max="12" width="38" customWidth="1"/>
    <col min="13" max="13" width="80" customWidth="1"/>
  </cols>
  <sheetData>
    <row r="1" spans="1:1" x14ac:dyDescent="0.25">
      <c r="A1" s="1" t="s">
        <v>254</v>
      </c>
    </row>
    <row r="2" spans="1:1" x14ac:dyDescent="0.25">
      <c r="A2" s="2" t="s">
        <v>255</v>
      </c>
    </row>
    <row r="4" spans="1:13" x14ac:dyDescent="0.25">
      <c r="A4" s="3" t="s">
        <v>256</v>
      </c>
      <c r="B4" s="3" t="s">
        <v>257</v>
      </c>
      <c r="C4" s="3" t="s">
        <v>184</v>
      </c>
      <c r="D4" s="3" t="s">
        <v>159</v>
      </c>
      <c r="E4" s="3" t="s">
        <v>258</v>
      </c>
      <c r="F4" s="3" t="s">
        <v>191</v>
      </c>
      <c r="G4" s="3" t="s">
        <v>193</v>
      </c>
      <c r="H4" s="3" t="s">
        <v>190</v>
      </c>
      <c r="I4" s="3" t="s">
        <v>195</v>
      </c>
      <c r="J4" s="3" t="s">
        <v>259</v>
      </c>
      <c r="K4" s="3" t="s">
        <v>260</v>
      </c>
      <c r="L4" s="3" t="s">
        <v>261</v>
      </c>
      <c r="M4" s="3" t="s">
        <v>262</v>
      </c>
    </row>
    <row r="5" spans="1:13" x14ac:dyDescent="0.25">
      <c r="A5" s="4">
        <v>1</v>
      </c>
      <c r="B5" s="13">
        <f>IFERROR(LARGE(Invoices!$O$5:$O$1000,A5),0)</f>
      </c>
      <c r="C5" s="4">
        <f>IF(B5&lt;=0,"",INDEX(Invoices!$A$5:$A$1000,MATCH(B5,Invoices!$O$5:$O$1000,0)))</f>
      </c>
      <c r="D5" s="4">
        <f>IF(B5&lt;=0,"",INDEX(Invoices!$B$5:$B$1000,MATCH(B5,Invoices!$O$5:$O$1000,0)))</f>
      </c>
      <c r="E5" s="4">
        <f>IF(C5="","",IF(IFERROR(INDEX(Clients!$B$5:$B$1000,MATCH(D5,Clients!$A$5:$A$1000,0))&amp;"","")="","there",INDEX(Clients!$B$5:$B$1000,MATCH(D5,Clients!$A$5:$A$1000,0))))</f>
      </c>
      <c r="F5" s="9">
        <f>IF(B5&lt;=0,"",INDEX(Invoices!$J$5:$J$1000,MATCH(B5,Invoices!$O$5:$O$1000,0)))</f>
      </c>
      <c r="G5" s="4">
        <f>IF(B5&lt;=0,"",INDEX(Invoices!$L$5:$L$1000,MATCH(B5,Invoices!$O$5:$O$1000,0)))</f>
      </c>
      <c r="H5" s="12">
        <f>IF(B5&lt;=0,"",INDEX(Invoices!$I$5:$I$1000,MATCH(B5,Invoices!$O$5:$O$1000,0)))</f>
      </c>
      <c r="I5" s="4">
        <f>IF(B5&lt;=0,"",INDEX(Invoices!$N$5:$N$1000,MATCH(B5,Invoices!$O$5:$O$1000,0)))</f>
      </c>
      <c r="J5" s="4">
        <f>IF(C5="","",Settings!$B$7&amp;IF(ROUND(F5,2)&gt;=1000000,INT(ROUND(F5,2)/1000000)&amp;","&amp;RIGHT("00"&amp;INT(MOD(ROUND(F5,2),1000000)/1000),3)&amp;","&amp;RIGHT(TEXT(ROUND(F5,2),"0.00"),6),IF(ROUND(F5,2)&gt;=1000,INT(ROUND(F5,2)/1000)&amp;","&amp;RIGHT(TEXT(ROUND(F5,2),"0.00"),6),TEXT(ROUND(F5,2),"0.00"))))</f>
      </c>
      <c r="K5" s="4">
        <f>IF(C5="","",CHOOSE(MONTH(H5),"Jan","Feb","Mar","Apr","May","Jun","Jul","Aug","Sep","Oct","Nov","Dec")&amp;" "&amp;DAY(H5)&amp;", "&amp;YEAR(H5))</f>
      </c>
      <c r="L5" s="4">
        <f>IF(C5="","",SUBSTITUTE(SUBSTITUTE(SUBSTITUTE(SUBSTITUTE(INDEX(Settings!$B$31:$B$38,MATCH(I5,Settings!$A$31:$A$38,0)),"{first}",E5),"{inv}",C5),"{due}",K5),"{days}",G5))</f>
      </c>
      <c r="M5" s="4">
        <f>IF(C5="","",SUBSTITUTE(SUBSTITUTE(SUBSTITUTE(SUBSTITUTE(SUBSTITUTE(SUBSTITUTE(SUBSTITUTE(SUBSTITUTE(INDEX(Settings!$B$31:$B$38,MATCH(I5,Settings!$A$31:$A$38,0)+1),"{first}",E5),"{inv}",C5),"{amount}",J5),"{due}",K5),"{days}",G5),"{paydate}",Settings!$C$40),"{me}",Settings!$C$41),"{latefee}",Settings!$C$42))</f>
      </c>
    </row>
    <row r="6" spans="1:13" x14ac:dyDescent="0.25">
      <c r="A6" s="4">
        <v>2</v>
      </c>
      <c r="B6" s="13">
        <f>IFERROR(LARGE(Invoices!$O$5:$O$1000,A6),0)</f>
      </c>
      <c r="C6" s="4">
        <f>IF(B6&lt;=0,"",INDEX(Invoices!$A$5:$A$1000,MATCH(B6,Invoices!$O$5:$O$1000,0)))</f>
      </c>
      <c r="D6" s="4">
        <f>IF(B6&lt;=0,"",INDEX(Invoices!$B$5:$B$1000,MATCH(B6,Invoices!$O$5:$O$1000,0)))</f>
      </c>
      <c r="E6" s="4">
        <f>IF(C6="","",IF(IFERROR(INDEX(Clients!$B$5:$B$1000,MATCH(D6,Clients!$A$5:$A$1000,0))&amp;"","")="","there",INDEX(Clients!$B$5:$B$1000,MATCH(D6,Clients!$A$5:$A$1000,0))))</f>
      </c>
      <c r="F6" s="9">
        <f>IF(B6&lt;=0,"",INDEX(Invoices!$J$5:$J$1000,MATCH(B6,Invoices!$O$5:$O$1000,0)))</f>
      </c>
      <c r="G6" s="4">
        <f>IF(B6&lt;=0,"",INDEX(Invoices!$L$5:$L$1000,MATCH(B6,Invoices!$O$5:$O$1000,0)))</f>
      </c>
      <c r="H6" s="12">
        <f>IF(B6&lt;=0,"",INDEX(Invoices!$I$5:$I$1000,MATCH(B6,Invoices!$O$5:$O$1000,0)))</f>
      </c>
      <c r="I6" s="4">
        <f>IF(B6&lt;=0,"",INDEX(Invoices!$N$5:$N$1000,MATCH(B6,Invoices!$O$5:$O$1000,0)))</f>
      </c>
      <c r="J6" s="4">
        <f>IF(C6="","",Settings!$B$7&amp;IF(ROUND(F6,2)&gt;=1000000,INT(ROUND(F6,2)/1000000)&amp;","&amp;RIGHT("00"&amp;INT(MOD(ROUND(F6,2),1000000)/1000),3)&amp;","&amp;RIGHT(TEXT(ROUND(F6,2),"0.00"),6),IF(ROUND(F6,2)&gt;=1000,INT(ROUND(F6,2)/1000)&amp;","&amp;RIGHT(TEXT(ROUND(F6,2),"0.00"),6),TEXT(ROUND(F6,2),"0.00"))))</f>
      </c>
      <c r="K6" s="4">
        <f>IF(C6="","",CHOOSE(MONTH(H6),"Jan","Feb","Mar","Apr","May","Jun","Jul","Aug","Sep","Oct","Nov","Dec")&amp;" "&amp;DAY(H6)&amp;", "&amp;YEAR(H6))</f>
      </c>
      <c r="L6" s="4">
        <f>IF(C6="","",SUBSTITUTE(SUBSTITUTE(SUBSTITUTE(SUBSTITUTE(INDEX(Settings!$B$31:$B$38,MATCH(I6,Settings!$A$31:$A$38,0)),"{first}",E6),"{inv}",C6),"{due}",K6),"{days}",G6))</f>
      </c>
      <c r="M6" s="4">
        <f>IF(C6="","",SUBSTITUTE(SUBSTITUTE(SUBSTITUTE(SUBSTITUTE(SUBSTITUTE(SUBSTITUTE(SUBSTITUTE(SUBSTITUTE(INDEX(Settings!$B$31:$B$38,MATCH(I6,Settings!$A$31:$A$38,0)+1),"{first}",E6),"{inv}",C6),"{amount}",J6),"{due}",K6),"{days}",G6),"{paydate}",Settings!$C$40),"{me}",Settings!$C$41),"{latefee}",Settings!$C$42))</f>
      </c>
    </row>
    <row r="7" spans="1:13" x14ac:dyDescent="0.25">
      <c r="A7" s="4">
        <v>3</v>
      </c>
      <c r="B7" s="13">
        <f>IFERROR(LARGE(Invoices!$O$5:$O$1000,A7),0)</f>
      </c>
      <c r="C7" s="4">
        <f>IF(B7&lt;=0,"",INDEX(Invoices!$A$5:$A$1000,MATCH(B7,Invoices!$O$5:$O$1000,0)))</f>
      </c>
      <c r="D7" s="4">
        <f>IF(B7&lt;=0,"",INDEX(Invoices!$B$5:$B$1000,MATCH(B7,Invoices!$O$5:$O$1000,0)))</f>
      </c>
      <c r="E7" s="4">
        <f>IF(C7="","",IF(IFERROR(INDEX(Clients!$B$5:$B$1000,MATCH(D7,Clients!$A$5:$A$1000,0))&amp;"","")="","there",INDEX(Clients!$B$5:$B$1000,MATCH(D7,Clients!$A$5:$A$1000,0))))</f>
      </c>
      <c r="F7" s="9">
        <f>IF(B7&lt;=0,"",INDEX(Invoices!$J$5:$J$1000,MATCH(B7,Invoices!$O$5:$O$1000,0)))</f>
      </c>
      <c r="G7" s="4">
        <f>IF(B7&lt;=0,"",INDEX(Invoices!$L$5:$L$1000,MATCH(B7,Invoices!$O$5:$O$1000,0)))</f>
      </c>
      <c r="H7" s="12">
        <f>IF(B7&lt;=0,"",INDEX(Invoices!$I$5:$I$1000,MATCH(B7,Invoices!$O$5:$O$1000,0)))</f>
      </c>
      <c r="I7" s="4">
        <f>IF(B7&lt;=0,"",INDEX(Invoices!$N$5:$N$1000,MATCH(B7,Invoices!$O$5:$O$1000,0)))</f>
      </c>
      <c r="J7" s="4">
        <f>IF(C7="","",Settings!$B$7&amp;IF(ROUND(F7,2)&gt;=1000000,INT(ROUND(F7,2)/1000000)&amp;","&amp;RIGHT("00"&amp;INT(MOD(ROUND(F7,2),1000000)/1000),3)&amp;","&amp;RIGHT(TEXT(ROUND(F7,2),"0.00"),6),IF(ROUND(F7,2)&gt;=1000,INT(ROUND(F7,2)/1000)&amp;","&amp;RIGHT(TEXT(ROUND(F7,2),"0.00"),6),TEXT(ROUND(F7,2),"0.00"))))</f>
      </c>
      <c r="K7" s="4">
        <f>IF(C7="","",CHOOSE(MONTH(H7),"Jan","Feb","Mar","Apr","May","Jun","Jul","Aug","Sep","Oct","Nov","Dec")&amp;" "&amp;DAY(H7)&amp;", "&amp;YEAR(H7))</f>
      </c>
      <c r="L7" s="4">
        <f>IF(C7="","",SUBSTITUTE(SUBSTITUTE(SUBSTITUTE(SUBSTITUTE(INDEX(Settings!$B$31:$B$38,MATCH(I7,Settings!$A$31:$A$38,0)),"{first}",E7),"{inv}",C7),"{due}",K7),"{days}",G7))</f>
      </c>
      <c r="M7" s="4">
        <f>IF(C7="","",SUBSTITUTE(SUBSTITUTE(SUBSTITUTE(SUBSTITUTE(SUBSTITUTE(SUBSTITUTE(SUBSTITUTE(SUBSTITUTE(INDEX(Settings!$B$31:$B$38,MATCH(I7,Settings!$A$31:$A$38,0)+1),"{first}",E7),"{inv}",C7),"{amount}",J7),"{due}",K7),"{days}",G7),"{paydate}",Settings!$C$40),"{me}",Settings!$C$41),"{latefee}",Settings!$C$42))</f>
      </c>
    </row>
    <row r="8" spans="1:13" x14ac:dyDescent="0.25">
      <c r="A8" s="4">
        <v>4</v>
      </c>
      <c r="B8" s="13">
        <f>IFERROR(LARGE(Invoices!$O$5:$O$1000,A8),0)</f>
      </c>
      <c r="C8" s="4">
        <f>IF(B8&lt;=0,"",INDEX(Invoices!$A$5:$A$1000,MATCH(B8,Invoices!$O$5:$O$1000,0)))</f>
      </c>
      <c r="D8" s="4">
        <f>IF(B8&lt;=0,"",INDEX(Invoices!$B$5:$B$1000,MATCH(B8,Invoices!$O$5:$O$1000,0)))</f>
      </c>
      <c r="E8" s="4">
        <f>IF(C8="","",IF(IFERROR(INDEX(Clients!$B$5:$B$1000,MATCH(D8,Clients!$A$5:$A$1000,0))&amp;"","")="","there",INDEX(Clients!$B$5:$B$1000,MATCH(D8,Clients!$A$5:$A$1000,0))))</f>
      </c>
      <c r="F8" s="9">
        <f>IF(B8&lt;=0,"",INDEX(Invoices!$J$5:$J$1000,MATCH(B8,Invoices!$O$5:$O$1000,0)))</f>
      </c>
      <c r="G8" s="4">
        <f>IF(B8&lt;=0,"",INDEX(Invoices!$L$5:$L$1000,MATCH(B8,Invoices!$O$5:$O$1000,0)))</f>
      </c>
      <c r="H8" s="12">
        <f>IF(B8&lt;=0,"",INDEX(Invoices!$I$5:$I$1000,MATCH(B8,Invoices!$O$5:$O$1000,0)))</f>
      </c>
      <c r="I8" s="4">
        <f>IF(B8&lt;=0,"",INDEX(Invoices!$N$5:$N$1000,MATCH(B8,Invoices!$O$5:$O$1000,0)))</f>
      </c>
      <c r="J8" s="4">
        <f>IF(C8="","",Settings!$B$7&amp;IF(ROUND(F8,2)&gt;=1000000,INT(ROUND(F8,2)/1000000)&amp;","&amp;RIGHT("00"&amp;INT(MOD(ROUND(F8,2),1000000)/1000),3)&amp;","&amp;RIGHT(TEXT(ROUND(F8,2),"0.00"),6),IF(ROUND(F8,2)&gt;=1000,INT(ROUND(F8,2)/1000)&amp;","&amp;RIGHT(TEXT(ROUND(F8,2),"0.00"),6),TEXT(ROUND(F8,2),"0.00"))))</f>
      </c>
      <c r="K8" s="4">
        <f>IF(C8="","",CHOOSE(MONTH(H8),"Jan","Feb","Mar","Apr","May","Jun","Jul","Aug","Sep","Oct","Nov","Dec")&amp;" "&amp;DAY(H8)&amp;", "&amp;YEAR(H8))</f>
      </c>
      <c r="L8" s="4">
        <f>IF(C8="","",SUBSTITUTE(SUBSTITUTE(SUBSTITUTE(SUBSTITUTE(INDEX(Settings!$B$31:$B$38,MATCH(I8,Settings!$A$31:$A$38,0)),"{first}",E8),"{inv}",C8),"{due}",K8),"{days}",G8))</f>
      </c>
      <c r="M8" s="4">
        <f>IF(C8="","",SUBSTITUTE(SUBSTITUTE(SUBSTITUTE(SUBSTITUTE(SUBSTITUTE(SUBSTITUTE(SUBSTITUTE(SUBSTITUTE(INDEX(Settings!$B$31:$B$38,MATCH(I8,Settings!$A$31:$A$38,0)+1),"{first}",E8),"{inv}",C8),"{amount}",J8),"{due}",K8),"{days}",G8),"{paydate}",Settings!$C$40),"{me}",Settings!$C$41),"{latefee}",Settings!$C$42))</f>
      </c>
    </row>
    <row r="9" spans="1:13" x14ac:dyDescent="0.25">
      <c r="A9" s="4">
        <v>5</v>
      </c>
      <c r="B9" s="13">
        <f>IFERROR(LARGE(Invoices!$O$5:$O$1000,A9),0)</f>
      </c>
      <c r="C9" s="4">
        <f>IF(B9&lt;=0,"",INDEX(Invoices!$A$5:$A$1000,MATCH(B9,Invoices!$O$5:$O$1000,0)))</f>
      </c>
      <c r="D9" s="4">
        <f>IF(B9&lt;=0,"",INDEX(Invoices!$B$5:$B$1000,MATCH(B9,Invoices!$O$5:$O$1000,0)))</f>
      </c>
      <c r="E9" s="4">
        <f>IF(C9="","",IF(IFERROR(INDEX(Clients!$B$5:$B$1000,MATCH(D9,Clients!$A$5:$A$1000,0))&amp;"","")="","there",INDEX(Clients!$B$5:$B$1000,MATCH(D9,Clients!$A$5:$A$1000,0))))</f>
      </c>
      <c r="F9" s="9">
        <f>IF(B9&lt;=0,"",INDEX(Invoices!$J$5:$J$1000,MATCH(B9,Invoices!$O$5:$O$1000,0)))</f>
      </c>
      <c r="G9" s="4">
        <f>IF(B9&lt;=0,"",INDEX(Invoices!$L$5:$L$1000,MATCH(B9,Invoices!$O$5:$O$1000,0)))</f>
      </c>
      <c r="H9" s="12">
        <f>IF(B9&lt;=0,"",INDEX(Invoices!$I$5:$I$1000,MATCH(B9,Invoices!$O$5:$O$1000,0)))</f>
      </c>
      <c r="I9" s="4">
        <f>IF(B9&lt;=0,"",INDEX(Invoices!$N$5:$N$1000,MATCH(B9,Invoices!$O$5:$O$1000,0)))</f>
      </c>
      <c r="J9" s="4">
        <f>IF(C9="","",Settings!$B$7&amp;IF(ROUND(F9,2)&gt;=1000000,INT(ROUND(F9,2)/1000000)&amp;","&amp;RIGHT("00"&amp;INT(MOD(ROUND(F9,2),1000000)/1000),3)&amp;","&amp;RIGHT(TEXT(ROUND(F9,2),"0.00"),6),IF(ROUND(F9,2)&gt;=1000,INT(ROUND(F9,2)/1000)&amp;","&amp;RIGHT(TEXT(ROUND(F9,2),"0.00"),6),TEXT(ROUND(F9,2),"0.00"))))</f>
      </c>
      <c r="K9" s="4">
        <f>IF(C9="","",CHOOSE(MONTH(H9),"Jan","Feb","Mar","Apr","May","Jun","Jul","Aug","Sep","Oct","Nov","Dec")&amp;" "&amp;DAY(H9)&amp;", "&amp;YEAR(H9))</f>
      </c>
      <c r="L9" s="4">
        <f>IF(C9="","",SUBSTITUTE(SUBSTITUTE(SUBSTITUTE(SUBSTITUTE(INDEX(Settings!$B$31:$B$38,MATCH(I9,Settings!$A$31:$A$38,0)),"{first}",E9),"{inv}",C9),"{due}",K9),"{days}",G9))</f>
      </c>
      <c r="M9" s="4">
        <f>IF(C9="","",SUBSTITUTE(SUBSTITUTE(SUBSTITUTE(SUBSTITUTE(SUBSTITUTE(SUBSTITUTE(SUBSTITUTE(SUBSTITUTE(INDEX(Settings!$B$31:$B$38,MATCH(I9,Settings!$A$31:$A$38,0)+1),"{first}",E9),"{inv}",C9),"{amount}",J9),"{due}",K9),"{days}",G9),"{paydate}",Settings!$C$40),"{me}",Settings!$C$41),"{latefee}",Settings!$C$42))</f>
      </c>
    </row>
    <row r="10" spans="1:13" x14ac:dyDescent="0.25">
      <c r="A10" s="4">
        <v>6</v>
      </c>
      <c r="B10" s="13">
        <f>IFERROR(LARGE(Invoices!$O$5:$O$1000,A10),0)</f>
      </c>
      <c r="C10" s="4">
        <f>IF(B10&lt;=0,"",INDEX(Invoices!$A$5:$A$1000,MATCH(B10,Invoices!$O$5:$O$1000,0)))</f>
      </c>
      <c r="D10" s="4">
        <f>IF(B10&lt;=0,"",INDEX(Invoices!$B$5:$B$1000,MATCH(B10,Invoices!$O$5:$O$1000,0)))</f>
      </c>
      <c r="E10" s="4">
        <f>IF(C10="","",IF(IFERROR(INDEX(Clients!$B$5:$B$1000,MATCH(D10,Clients!$A$5:$A$1000,0))&amp;"","")="","there",INDEX(Clients!$B$5:$B$1000,MATCH(D10,Clients!$A$5:$A$1000,0))))</f>
      </c>
      <c r="F10" s="9">
        <f>IF(B10&lt;=0,"",INDEX(Invoices!$J$5:$J$1000,MATCH(B10,Invoices!$O$5:$O$1000,0)))</f>
      </c>
      <c r="G10" s="4">
        <f>IF(B10&lt;=0,"",INDEX(Invoices!$L$5:$L$1000,MATCH(B10,Invoices!$O$5:$O$1000,0)))</f>
      </c>
      <c r="H10" s="12">
        <f>IF(B10&lt;=0,"",INDEX(Invoices!$I$5:$I$1000,MATCH(B10,Invoices!$O$5:$O$1000,0)))</f>
      </c>
      <c r="I10" s="4">
        <f>IF(B10&lt;=0,"",INDEX(Invoices!$N$5:$N$1000,MATCH(B10,Invoices!$O$5:$O$1000,0)))</f>
      </c>
      <c r="J10" s="4">
        <f>IF(C10="","",Settings!$B$7&amp;IF(ROUND(F10,2)&gt;=1000000,INT(ROUND(F10,2)/1000000)&amp;","&amp;RIGHT("00"&amp;INT(MOD(ROUND(F10,2),1000000)/1000),3)&amp;","&amp;RIGHT(TEXT(ROUND(F10,2),"0.00"),6),IF(ROUND(F10,2)&gt;=1000,INT(ROUND(F10,2)/1000)&amp;","&amp;RIGHT(TEXT(ROUND(F10,2),"0.00"),6),TEXT(ROUND(F10,2),"0.00"))))</f>
      </c>
      <c r="K10" s="4">
        <f>IF(C10="","",CHOOSE(MONTH(H10),"Jan","Feb","Mar","Apr","May","Jun","Jul","Aug","Sep","Oct","Nov","Dec")&amp;" "&amp;DAY(H10)&amp;", "&amp;YEAR(H10))</f>
      </c>
      <c r="L10" s="4">
        <f>IF(C10="","",SUBSTITUTE(SUBSTITUTE(SUBSTITUTE(SUBSTITUTE(INDEX(Settings!$B$31:$B$38,MATCH(I10,Settings!$A$31:$A$38,0)),"{first}",E10),"{inv}",C10),"{due}",K10),"{days}",G10))</f>
      </c>
      <c r="M10" s="4">
        <f>IF(C10="","",SUBSTITUTE(SUBSTITUTE(SUBSTITUTE(SUBSTITUTE(SUBSTITUTE(SUBSTITUTE(SUBSTITUTE(SUBSTITUTE(INDEX(Settings!$B$31:$B$38,MATCH(I10,Settings!$A$31:$A$38,0)+1),"{first}",E10),"{inv}",C10),"{amount}",J10),"{due}",K10),"{days}",G10),"{paydate}",Settings!$C$40),"{me}",Settings!$C$41),"{latefee}",Settings!$C$42))</f>
      </c>
    </row>
    <row r="11" spans="1:13" x14ac:dyDescent="0.25">
      <c r="A11" s="4">
        <v>7</v>
      </c>
      <c r="B11" s="13">
        <f>IFERROR(LARGE(Invoices!$O$5:$O$1000,A11),0)</f>
      </c>
      <c r="C11" s="4">
        <f>IF(B11&lt;=0,"",INDEX(Invoices!$A$5:$A$1000,MATCH(B11,Invoices!$O$5:$O$1000,0)))</f>
      </c>
      <c r="D11" s="4">
        <f>IF(B11&lt;=0,"",INDEX(Invoices!$B$5:$B$1000,MATCH(B11,Invoices!$O$5:$O$1000,0)))</f>
      </c>
      <c r="E11" s="4">
        <f>IF(C11="","",IF(IFERROR(INDEX(Clients!$B$5:$B$1000,MATCH(D11,Clients!$A$5:$A$1000,0))&amp;"","")="","there",INDEX(Clients!$B$5:$B$1000,MATCH(D11,Clients!$A$5:$A$1000,0))))</f>
      </c>
      <c r="F11" s="9">
        <f>IF(B11&lt;=0,"",INDEX(Invoices!$J$5:$J$1000,MATCH(B11,Invoices!$O$5:$O$1000,0)))</f>
      </c>
      <c r="G11" s="4">
        <f>IF(B11&lt;=0,"",INDEX(Invoices!$L$5:$L$1000,MATCH(B11,Invoices!$O$5:$O$1000,0)))</f>
      </c>
      <c r="H11" s="12">
        <f>IF(B11&lt;=0,"",INDEX(Invoices!$I$5:$I$1000,MATCH(B11,Invoices!$O$5:$O$1000,0)))</f>
      </c>
      <c r="I11" s="4">
        <f>IF(B11&lt;=0,"",INDEX(Invoices!$N$5:$N$1000,MATCH(B11,Invoices!$O$5:$O$1000,0)))</f>
      </c>
      <c r="J11" s="4">
        <f>IF(C11="","",Settings!$B$7&amp;IF(ROUND(F11,2)&gt;=1000000,INT(ROUND(F11,2)/1000000)&amp;","&amp;RIGHT("00"&amp;INT(MOD(ROUND(F11,2),1000000)/1000),3)&amp;","&amp;RIGHT(TEXT(ROUND(F11,2),"0.00"),6),IF(ROUND(F11,2)&gt;=1000,INT(ROUND(F11,2)/1000)&amp;","&amp;RIGHT(TEXT(ROUND(F11,2),"0.00"),6),TEXT(ROUND(F11,2),"0.00"))))</f>
      </c>
      <c r="K11" s="4">
        <f>IF(C11="","",CHOOSE(MONTH(H11),"Jan","Feb","Mar","Apr","May","Jun","Jul","Aug","Sep","Oct","Nov","Dec")&amp;" "&amp;DAY(H11)&amp;", "&amp;YEAR(H11))</f>
      </c>
      <c r="L11" s="4">
        <f>IF(C11="","",SUBSTITUTE(SUBSTITUTE(SUBSTITUTE(SUBSTITUTE(INDEX(Settings!$B$31:$B$38,MATCH(I11,Settings!$A$31:$A$38,0)),"{first}",E11),"{inv}",C11),"{due}",K11),"{days}",G11))</f>
      </c>
      <c r="M11" s="4">
        <f>IF(C11="","",SUBSTITUTE(SUBSTITUTE(SUBSTITUTE(SUBSTITUTE(SUBSTITUTE(SUBSTITUTE(SUBSTITUTE(SUBSTITUTE(INDEX(Settings!$B$31:$B$38,MATCH(I11,Settings!$A$31:$A$38,0)+1),"{first}",E11),"{inv}",C11),"{amount}",J11),"{due}",K11),"{days}",G11),"{paydate}",Settings!$C$40),"{me}",Settings!$C$41),"{latefee}",Settings!$C$42))</f>
      </c>
    </row>
    <row r="12" spans="1:13" x14ac:dyDescent="0.25">
      <c r="A12" s="4">
        <v>8</v>
      </c>
      <c r="B12" s="13">
        <f>IFERROR(LARGE(Invoices!$O$5:$O$1000,A12),0)</f>
      </c>
      <c r="C12" s="4">
        <f>IF(B12&lt;=0,"",INDEX(Invoices!$A$5:$A$1000,MATCH(B12,Invoices!$O$5:$O$1000,0)))</f>
      </c>
      <c r="D12" s="4">
        <f>IF(B12&lt;=0,"",INDEX(Invoices!$B$5:$B$1000,MATCH(B12,Invoices!$O$5:$O$1000,0)))</f>
      </c>
      <c r="E12" s="4">
        <f>IF(C12="","",IF(IFERROR(INDEX(Clients!$B$5:$B$1000,MATCH(D12,Clients!$A$5:$A$1000,0))&amp;"","")="","there",INDEX(Clients!$B$5:$B$1000,MATCH(D12,Clients!$A$5:$A$1000,0))))</f>
      </c>
      <c r="F12" s="9">
        <f>IF(B12&lt;=0,"",INDEX(Invoices!$J$5:$J$1000,MATCH(B12,Invoices!$O$5:$O$1000,0)))</f>
      </c>
      <c r="G12" s="4">
        <f>IF(B12&lt;=0,"",INDEX(Invoices!$L$5:$L$1000,MATCH(B12,Invoices!$O$5:$O$1000,0)))</f>
      </c>
      <c r="H12" s="12">
        <f>IF(B12&lt;=0,"",INDEX(Invoices!$I$5:$I$1000,MATCH(B12,Invoices!$O$5:$O$1000,0)))</f>
      </c>
      <c r="I12" s="4">
        <f>IF(B12&lt;=0,"",INDEX(Invoices!$N$5:$N$1000,MATCH(B12,Invoices!$O$5:$O$1000,0)))</f>
      </c>
      <c r="J12" s="4">
        <f>IF(C12="","",Settings!$B$7&amp;IF(ROUND(F12,2)&gt;=1000000,INT(ROUND(F12,2)/1000000)&amp;","&amp;RIGHT("00"&amp;INT(MOD(ROUND(F12,2),1000000)/1000),3)&amp;","&amp;RIGHT(TEXT(ROUND(F12,2),"0.00"),6),IF(ROUND(F12,2)&gt;=1000,INT(ROUND(F12,2)/1000)&amp;","&amp;RIGHT(TEXT(ROUND(F12,2),"0.00"),6),TEXT(ROUND(F12,2),"0.00"))))</f>
      </c>
      <c r="K12" s="4">
        <f>IF(C12="","",CHOOSE(MONTH(H12),"Jan","Feb","Mar","Apr","May","Jun","Jul","Aug","Sep","Oct","Nov","Dec")&amp;" "&amp;DAY(H12)&amp;", "&amp;YEAR(H12))</f>
      </c>
      <c r="L12" s="4">
        <f>IF(C12="","",SUBSTITUTE(SUBSTITUTE(SUBSTITUTE(SUBSTITUTE(INDEX(Settings!$B$31:$B$38,MATCH(I12,Settings!$A$31:$A$38,0)),"{first}",E12),"{inv}",C12),"{due}",K12),"{days}",G12))</f>
      </c>
      <c r="M12" s="4">
        <f>IF(C12="","",SUBSTITUTE(SUBSTITUTE(SUBSTITUTE(SUBSTITUTE(SUBSTITUTE(SUBSTITUTE(SUBSTITUTE(SUBSTITUTE(INDEX(Settings!$B$31:$B$38,MATCH(I12,Settings!$A$31:$A$38,0)+1),"{first}",E12),"{inv}",C12),"{amount}",J12),"{due}",K12),"{days}",G12),"{paydate}",Settings!$C$40),"{me}",Settings!$C$41),"{latefee}",Settings!$C$42))</f>
      </c>
    </row>
    <row r="13" spans="1:13" x14ac:dyDescent="0.25">
      <c r="A13" s="4">
        <v>9</v>
      </c>
      <c r="B13" s="13">
        <f>IFERROR(LARGE(Invoices!$O$5:$O$1000,A13),0)</f>
      </c>
      <c r="C13" s="4">
        <f>IF(B13&lt;=0,"",INDEX(Invoices!$A$5:$A$1000,MATCH(B13,Invoices!$O$5:$O$1000,0)))</f>
      </c>
      <c r="D13" s="4">
        <f>IF(B13&lt;=0,"",INDEX(Invoices!$B$5:$B$1000,MATCH(B13,Invoices!$O$5:$O$1000,0)))</f>
      </c>
      <c r="E13" s="4">
        <f>IF(C13="","",IF(IFERROR(INDEX(Clients!$B$5:$B$1000,MATCH(D13,Clients!$A$5:$A$1000,0))&amp;"","")="","there",INDEX(Clients!$B$5:$B$1000,MATCH(D13,Clients!$A$5:$A$1000,0))))</f>
      </c>
      <c r="F13" s="9">
        <f>IF(B13&lt;=0,"",INDEX(Invoices!$J$5:$J$1000,MATCH(B13,Invoices!$O$5:$O$1000,0)))</f>
      </c>
      <c r="G13" s="4">
        <f>IF(B13&lt;=0,"",INDEX(Invoices!$L$5:$L$1000,MATCH(B13,Invoices!$O$5:$O$1000,0)))</f>
      </c>
      <c r="H13" s="12">
        <f>IF(B13&lt;=0,"",INDEX(Invoices!$I$5:$I$1000,MATCH(B13,Invoices!$O$5:$O$1000,0)))</f>
      </c>
      <c r="I13" s="4">
        <f>IF(B13&lt;=0,"",INDEX(Invoices!$N$5:$N$1000,MATCH(B13,Invoices!$O$5:$O$1000,0)))</f>
      </c>
      <c r="J13" s="4">
        <f>IF(C13="","",Settings!$B$7&amp;IF(ROUND(F13,2)&gt;=1000000,INT(ROUND(F13,2)/1000000)&amp;","&amp;RIGHT("00"&amp;INT(MOD(ROUND(F13,2),1000000)/1000),3)&amp;","&amp;RIGHT(TEXT(ROUND(F13,2),"0.00"),6),IF(ROUND(F13,2)&gt;=1000,INT(ROUND(F13,2)/1000)&amp;","&amp;RIGHT(TEXT(ROUND(F13,2),"0.00"),6),TEXT(ROUND(F13,2),"0.00"))))</f>
      </c>
      <c r="K13" s="4">
        <f>IF(C13="","",CHOOSE(MONTH(H13),"Jan","Feb","Mar","Apr","May","Jun","Jul","Aug","Sep","Oct","Nov","Dec")&amp;" "&amp;DAY(H13)&amp;", "&amp;YEAR(H13))</f>
      </c>
      <c r="L13" s="4">
        <f>IF(C13="","",SUBSTITUTE(SUBSTITUTE(SUBSTITUTE(SUBSTITUTE(INDEX(Settings!$B$31:$B$38,MATCH(I13,Settings!$A$31:$A$38,0)),"{first}",E13),"{inv}",C13),"{due}",K13),"{days}",G13))</f>
      </c>
      <c r="M13" s="4">
        <f>IF(C13="","",SUBSTITUTE(SUBSTITUTE(SUBSTITUTE(SUBSTITUTE(SUBSTITUTE(SUBSTITUTE(SUBSTITUTE(SUBSTITUTE(INDEX(Settings!$B$31:$B$38,MATCH(I13,Settings!$A$31:$A$38,0)+1),"{first}",E13),"{inv}",C13),"{amount}",J13),"{due}",K13),"{days}",G13),"{paydate}",Settings!$C$40),"{me}",Settings!$C$41),"{latefee}",Settings!$C$42))</f>
      </c>
    </row>
    <row r="14" spans="1:13" x14ac:dyDescent="0.25">
      <c r="A14" s="4">
        <v>10</v>
      </c>
      <c r="B14" s="13">
        <f>IFERROR(LARGE(Invoices!$O$5:$O$1000,A14),0)</f>
      </c>
      <c r="C14" s="4">
        <f>IF(B14&lt;=0,"",INDEX(Invoices!$A$5:$A$1000,MATCH(B14,Invoices!$O$5:$O$1000,0)))</f>
      </c>
      <c r="D14" s="4">
        <f>IF(B14&lt;=0,"",INDEX(Invoices!$B$5:$B$1000,MATCH(B14,Invoices!$O$5:$O$1000,0)))</f>
      </c>
      <c r="E14" s="4">
        <f>IF(C14="","",IF(IFERROR(INDEX(Clients!$B$5:$B$1000,MATCH(D14,Clients!$A$5:$A$1000,0))&amp;"","")="","there",INDEX(Clients!$B$5:$B$1000,MATCH(D14,Clients!$A$5:$A$1000,0))))</f>
      </c>
      <c r="F14" s="9">
        <f>IF(B14&lt;=0,"",INDEX(Invoices!$J$5:$J$1000,MATCH(B14,Invoices!$O$5:$O$1000,0)))</f>
      </c>
      <c r="G14" s="4">
        <f>IF(B14&lt;=0,"",INDEX(Invoices!$L$5:$L$1000,MATCH(B14,Invoices!$O$5:$O$1000,0)))</f>
      </c>
      <c r="H14" s="12">
        <f>IF(B14&lt;=0,"",INDEX(Invoices!$I$5:$I$1000,MATCH(B14,Invoices!$O$5:$O$1000,0)))</f>
      </c>
      <c r="I14" s="4">
        <f>IF(B14&lt;=0,"",INDEX(Invoices!$N$5:$N$1000,MATCH(B14,Invoices!$O$5:$O$1000,0)))</f>
      </c>
      <c r="J14" s="4">
        <f>IF(C14="","",Settings!$B$7&amp;IF(ROUND(F14,2)&gt;=1000000,INT(ROUND(F14,2)/1000000)&amp;","&amp;RIGHT("00"&amp;INT(MOD(ROUND(F14,2),1000000)/1000),3)&amp;","&amp;RIGHT(TEXT(ROUND(F14,2),"0.00"),6),IF(ROUND(F14,2)&gt;=1000,INT(ROUND(F14,2)/1000)&amp;","&amp;RIGHT(TEXT(ROUND(F14,2),"0.00"),6),TEXT(ROUND(F14,2),"0.00"))))</f>
      </c>
      <c r="K14" s="4">
        <f>IF(C14="","",CHOOSE(MONTH(H14),"Jan","Feb","Mar","Apr","May","Jun","Jul","Aug","Sep","Oct","Nov","Dec")&amp;" "&amp;DAY(H14)&amp;", "&amp;YEAR(H14))</f>
      </c>
      <c r="L14" s="4">
        <f>IF(C14="","",SUBSTITUTE(SUBSTITUTE(SUBSTITUTE(SUBSTITUTE(INDEX(Settings!$B$31:$B$38,MATCH(I14,Settings!$A$31:$A$38,0)),"{first}",E14),"{inv}",C14),"{due}",K14),"{days}",G14))</f>
      </c>
      <c r="M14" s="4">
        <f>IF(C14="","",SUBSTITUTE(SUBSTITUTE(SUBSTITUTE(SUBSTITUTE(SUBSTITUTE(SUBSTITUTE(SUBSTITUTE(SUBSTITUTE(INDEX(Settings!$B$31:$B$38,MATCH(I14,Settings!$A$31:$A$38,0)+1),"{first}",E14),"{inv}",C14),"{amount}",J14),"{due}",K14),"{days}",G14),"{paydate}",Settings!$C$40),"{me}",Settings!$C$41),"{latefee}",Settings!$C$42))</f>
      </c>
    </row>
    <row r="15" spans="1:13" x14ac:dyDescent="0.25">
      <c r="A15" s="4">
        <v>11</v>
      </c>
      <c r="B15" s="13">
        <f>IFERROR(LARGE(Invoices!$O$5:$O$1000,A15),0)</f>
      </c>
      <c r="C15" s="4">
        <f>IF(B15&lt;=0,"",INDEX(Invoices!$A$5:$A$1000,MATCH(B15,Invoices!$O$5:$O$1000,0)))</f>
      </c>
      <c r="D15" s="4">
        <f>IF(B15&lt;=0,"",INDEX(Invoices!$B$5:$B$1000,MATCH(B15,Invoices!$O$5:$O$1000,0)))</f>
      </c>
      <c r="E15" s="4">
        <f>IF(C15="","",IF(IFERROR(INDEX(Clients!$B$5:$B$1000,MATCH(D15,Clients!$A$5:$A$1000,0))&amp;"","")="","there",INDEX(Clients!$B$5:$B$1000,MATCH(D15,Clients!$A$5:$A$1000,0))))</f>
      </c>
      <c r="F15" s="9">
        <f>IF(B15&lt;=0,"",INDEX(Invoices!$J$5:$J$1000,MATCH(B15,Invoices!$O$5:$O$1000,0)))</f>
      </c>
      <c r="G15" s="4">
        <f>IF(B15&lt;=0,"",INDEX(Invoices!$L$5:$L$1000,MATCH(B15,Invoices!$O$5:$O$1000,0)))</f>
      </c>
      <c r="H15" s="12">
        <f>IF(B15&lt;=0,"",INDEX(Invoices!$I$5:$I$1000,MATCH(B15,Invoices!$O$5:$O$1000,0)))</f>
      </c>
      <c r="I15" s="4">
        <f>IF(B15&lt;=0,"",INDEX(Invoices!$N$5:$N$1000,MATCH(B15,Invoices!$O$5:$O$1000,0)))</f>
      </c>
      <c r="J15" s="4">
        <f>IF(C15="","",Settings!$B$7&amp;IF(ROUND(F15,2)&gt;=1000000,INT(ROUND(F15,2)/1000000)&amp;","&amp;RIGHT("00"&amp;INT(MOD(ROUND(F15,2),1000000)/1000),3)&amp;","&amp;RIGHT(TEXT(ROUND(F15,2),"0.00"),6),IF(ROUND(F15,2)&gt;=1000,INT(ROUND(F15,2)/1000)&amp;","&amp;RIGHT(TEXT(ROUND(F15,2),"0.00"),6),TEXT(ROUND(F15,2),"0.00"))))</f>
      </c>
      <c r="K15" s="4">
        <f>IF(C15="","",CHOOSE(MONTH(H15),"Jan","Feb","Mar","Apr","May","Jun","Jul","Aug","Sep","Oct","Nov","Dec")&amp;" "&amp;DAY(H15)&amp;", "&amp;YEAR(H15))</f>
      </c>
      <c r="L15" s="4">
        <f>IF(C15="","",SUBSTITUTE(SUBSTITUTE(SUBSTITUTE(SUBSTITUTE(INDEX(Settings!$B$31:$B$38,MATCH(I15,Settings!$A$31:$A$38,0)),"{first}",E15),"{inv}",C15),"{due}",K15),"{days}",G15))</f>
      </c>
      <c r="M15" s="4">
        <f>IF(C15="","",SUBSTITUTE(SUBSTITUTE(SUBSTITUTE(SUBSTITUTE(SUBSTITUTE(SUBSTITUTE(SUBSTITUTE(SUBSTITUTE(INDEX(Settings!$B$31:$B$38,MATCH(I15,Settings!$A$31:$A$38,0)+1),"{first}",E15),"{inv}",C15),"{amount}",J15),"{due}",K15),"{days}",G15),"{paydate}",Settings!$C$40),"{me}",Settings!$C$41),"{latefee}",Settings!$C$42))</f>
      </c>
    </row>
    <row r="16" spans="1:13" x14ac:dyDescent="0.25">
      <c r="A16" s="4">
        <v>12</v>
      </c>
      <c r="B16" s="13">
        <f>IFERROR(LARGE(Invoices!$O$5:$O$1000,A16),0)</f>
      </c>
      <c r="C16" s="4">
        <f>IF(B16&lt;=0,"",INDEX(Invoices!$A$5:$A$1000,MATCH(B16,Invoices!$O$5:$O$1000,0)))</f>
      </c>
      <c r="D16" s="4">
        <f>IF(B16&lt;=0,"",INDEX(Invoices!$B$5:$B$1000,MATCH(B16,Invoices!$O$5:$O$1000,0)))</f>
      </c>
      <c r="E16" s="4">
        <f>IF(C16="","",IF(IFERROR(INDEX(Clients!$B$5:$B$1000,MATCH(D16,Clients!$A$5:$A$1000,0))&amp;"","")="","there",INDEX(Clients!$B$5:$B$1000,MATCH(D16,Clients!$A$5:$A$1000,0))))</f>
      </c>
      <c r="F16" s="9">
        <f>IF(B16&lt;=0,"",INDEX(Invoices!$J$5:$J$1000,MATCH(B16,Invoices!$O$5:$O$1000,0)))</f>
      </c>
      <c r="G16" s="4">
        <f>IF(B16&lt;=0,"",INDEX(Invoices!$L$5:$L$1000,MATCH(B16,Invoices!$O$5:$O$1000,0)))</f>
      </c>
      <c r="H16" s="12">
        <f>IF(B16&lt;=0,"",INDEX(Invoices!$I$5:$I$1000,MATCH(B16,Invoices!$O$5:$O$1000,0)))</f>
      </c>
      <c r="I16" s="4">
        <f>IF(B16&lt;=0,"",INDEX(Invoices!$N$5:$N$1000,MATCH(B16,Invoices!$O$5:$O$1000,0)))</f>
      </c>
      <c r="J16" s="4">
        <f>IF(C16="","",Settings!$B$7&amp;IF(ROUND(F16,2)&gt;=1000000,INT(ROUND(F16,2)/1000000)&amp;","&amp;RIGHT("00"&amp;INT(MOD(ROUND(F16,2),1000000)/1000),3)&amp;","&amp;RIGHT(TEXT(ROUND(F16,2),"0.00"),6),IF(ROUND(F16,2)&gt;=1000,INT(ROUND(F16,2)/1000)&amp;","&amp;RIGHT(TEXT(ROUND(F16,2),"0.00"),6),TEXT(ROUND(F16,2),"0.00"))))</f>
      </c>
      <c r="K16" s="4">
        <f>IF(C16="","",CHOOSE(MONTH(H16),"Jan","Feb","Mar","Apr","May","Jun","Jul","Aug","Sep","Oct","Nov","Dec")&amp;" "&amp;DAY(H16)&amp;", "&amp;YEAR(H16))</f>
      </c>
      <c r="L16" s="4">
        <f>IF(C16="","",SUBSTITUTE(SUBSTITUTE(SUBSTITUTE(SUBSTITUTE(INDEX(Settings!$B$31:$B$38,MATCH(I16,Settings!$A$31:$A$38,0)),"{first}",E16),"{inv}",C16),"{due}",K16),"{days}",G16))</f>
      </c>
      <c r="M16" s="4">
        <f>IF(C16="","",SUBSTITUTE(SUBSTITUTE(SUBSTITUTE(SUBSTITUTE(SUBSTITUTE(SUBSTITUTE(SUBSTITUTE(SUBSTITUTE(INDEX(Settings!$B$31:$B$38,MATCH(I16,Settings!$A$31:$A$38,0)+1),"{first}",E16),"{inv}",C16),"{amount}",J16),"{due}",K16),"{days}",G16),"{paydate}",Settings!$C$40),"{me}",Settings!$C$41),"{latefee}",Settings!$C$42))</f>
      </c>
    </row>
    <row r="17" spans="1:13" x14ac:dyDescent="0.25">
      <c r="A17" s="4">
        <v>13</v>
      </c>
      <c r="B17" s="13">
        <f>IFERROR(LARGE(Invoices!$O$5:$O$1000,A17),0)</f>
      </c>
      <c r="C17" s="4">
        <f>IF(B17&lt;=0,"",INDEX(Invoices!$A$5:$A$1000,MATCH(B17,Invoices!$O$5:$O$1000,0)))</f>
      </c>
      <c r="D17" s="4">
        <f>IF(B17&lt;=0,"",INDEX(Invoices!$B$5:$B$1000,MATCH(B17,Invoices!$O$5:$O$1000,0)))</f>
      </c>
      <c r="E17" s="4">
        <f>IF(C17="","",IF(IFERROR(INDEX(Clients!$B$5:$B$1000,MATCH(D17,Clients!$A$5:$A$1000,0))&amp;"","")="","there",INDEX(Clients!$B$5:$B$1000,MATCH(D17,Clients!$A$5:$A$1000,0))))</f>
      </c>
      <c r="F17" s="9">
        <f>IF(B17&lt;=0,"",INDEX(Invoices!$J$5:$J$1000,MATCH(B17,Invoices!$O$5:$O$1000,0)))</f>
      </c>
      <c r="G17" s="4">
        <f>IF(B17&lt;=0,"",INDEX(Invoices!$L$5:$L$1000,MATCH(B17,Invoices!$O$5:$O$1000,0)))</f>
      </c>
      <c r="H17" s="12">
        <f>IF(B17&lt;=0,"",INDEX(Invoices!$I$5:$I$1000,MATCH(B17,Invoices!$O$5:$O$1000,0)))</f>
      </c>
      <c r="I17" s="4">
        <f>IF(B17&lt;=0,"",INDEX(Invoices!$N$5:$N$1000,MATCH(B17,Invoices!$O$5:$O$1000,0)))</f>
      </c>
      <c r="J17" s="4">
        <f>IF(C17="","",Settings!$B$7&amp;IF(ROUND(F17,2)&gt;=1000000,INT(ROUND(F17,2)/1000000)&amp;","&amp;RIGHT("00"&amp;INT(MOD(ROUND(F17,2),1000000)/1000),3)&amp;","&amp;RIGHT(TEXT(ROUND(F17,2),"0.00"),6),IF(ROUND(F17,2)&gt;=1000,INT(ROUND(F17,2)/1000)&amp;","&amp;RIGHT(TEXT(ROUND(F17,2),"0.00"),6),TEXT(ROUND(F17,2),"0.00"))))</f>
      </c>
      <c r="K17" s="4">
        <f>IF(C17="","",CHOOSE(MONTH(H17),"Jan","Feb","Mar","Apr","May","Jun","Jul","Aug","Sep","Oct","Nov","Dec")&amp;" "&amp;DAY(H17)&amp;", "&amp;YEAR(H17))</f>
      </c>
      <c r="L17" s="4">
        <f>IF(C17="","",SUBSTITUTE(SUBSTITUTE(SUBSTITUTE(SUBSTITUTE(INDEX(Settings!$B$31:$B$38,MATCH(I17,Settings!$A$31:$A$38,0)),"{first}",E17),"{inv}",C17),"{due}",K17),"{days}",G17))</f>
      </c>
      <c r="M17" s="4">
        <f>IF(C17="","",SUBSTITUTE(SUBSTITUTE(SUBSTITUTE(SUBSTITUTE(SUBSTITUTE(SUBSTITUTE(SUBSTITUTE(SUBSTITUTE(INDEX(Settings!$B$31:$B$38,MATCH(I17,Settings!$A$31:$A$38,0)+1),"{first}",E17),"{inv}",C17),"{amount}",J17),"{due}",K17),"{days}",G17),"{paydate}",Settings!$C$40),"{me}",Settings!$C$41),"{latefee}",Settings!$C$42))</f>
      </c>
    </row>
    <row r="18" spans="1:13" x14ac:dyDescent="0.25">
      <c r="A18" s="4">
        <v>14</v>
      </c>
      <c r="B18" s="13">
        <f>IFERROR(LARGE(Invoices!$O$5:$O$1000,A18),0)</f>
      </c>
      <c r="C18" s="4">
        <f>IF(B18&lt;=0,"",INDEX(Invoices!$A$5:$A$1000,MATCH(B18,Invoices!$O$5:$O$1000,0)))</f>
      </c>
      <c r="D18" s="4">
        <f>IF(B18&lt;=0,"",INDEX(Invoices!$B$5:$B$1000,MATCH(B18,Invoices!$O$5:$O$1000,0)))</f>
      </c>
      <c r="E18" s="4">
        <f>IF(C18="","",IF(IFERROR(INDEX(Clients!$B$5:$B$1000,MATCH(D18,Clients!$A$5:$A$1000,0))&amp;"","")="","there",INDEX(Clients!$B$5:$B$1000,MATCH(D18,Clients!$A$5:$A$1000,0))))</f>
      </c>
      <c r="F18" s="9">
        <f>IF(B18&lt;=0,"",INDEX(Invoices!$J$5:$J$1000,MATCH(B18,Invoices!$O$5:$O$1000,0)))</f>
      </c>
      <c r="G18" s="4">
        <f>IF(B18&lt;=0,"",INDEX(Invoices!$L$5:$L$1000,MATCH(B18,Invoices!$O$5:$O$1000,0)))</f>
      </c>
      <c r="H18" s="12">
        <f>IF(B18&lt;=0,"",INDEX(Invoices!$I$5:$I$1000,MATCH(B18,Invoices!$O$5:$O$1000,0)))</f>
      </c>
      <c r="I18" s="4">
        <f>IF(B18&lt;=0,"",INDEX(Invoices!$N$5:$N$1000,MATCH(B18,Invoices!$O$5:$O$1000,0)))</f>
      </c>
      <c r="J18" s="4">
        <f>IF(C18="","",Settings!$B$7&amp;IF(ROUND(F18,2)&gt;=1000000,INT(ROUND(F18,2)/1000000)&amp;","&amp;RIGHT("00"&amp;INT(MOD(ROUND(F18,2),1000000)/1000),3)&amp;","&amp;RIGHT(TEXT(ROUND(F18,2),"0.00"),6),IF(ROUND(F18,2)&gt;=1000,INT(ROUND(F18,2)/1000)&amp;","&amp;RIGHT(TEXT(ROUND(F18,2),"0.00"),6),TEXT(ROUND(F18,2),"0.00"))))</f>
      </c>
      <c r="K18" s="4">
        <f>IF(C18="","",CHOOSE(MONTH(H18),"Jan","Feb","Mar","Apr","May","Jun","Jul","Aug","Sep","Oct","Nov","Dec")&amp;" "&amp;DAY(H18)&amp;", "&amp;YEAR(H18))</f>
      </c>
      <c r="L18" s="4">
        <f>IF(C18="","",SUBSTITUTE(SUBSTITUTE(SUBSTITUTE(SUBSTITUTE(INDEX(Settings!$B$31:$B$38,MATCH(I18,Settings!$A$31:$A$38,0)),"{first}",E18),"{inv}",C18),"{due}",K18),"{days}",G18))</f>
      </c>
      <c r="M18" s="4">
        <f>IF(C18="","",SUBSTITUTE(SUBSTITUTE(SUBSTITUTE(SUBSTITUTE(SUBSTITUTE(SUBSTITUTE(SUBSTITUTE(SUBSTITUTE(INDEX(Settings!$B$31:$B$38,MATCH(I18,Settings!$A$31:$A$38,0)+1),"{first}",E18),"{inv}",C18),"{amount}",J18),"{due}",K18),"{days}",G18),"{paydate}",Settings!$C$40),"{me}",Settings!$C$41),"{latefee}",Settings!$C$42))</f>
      </c>
    </row>
    <row r="19" spans="1:13" x14ac:dyDescent="0.25">
      <c r="A19" s="4">
        <v>15</v>
      </c>
      <c r="B19" s="13">
        <f>IFERROR(LARGE(Invoices!$O$5:$O$1000,A19),0)</f>
      </c>
      <c r="C19" s="4">
        <f>IF(B19&lt;=0,"",INDEX(Invoices!$A$5:$A$1000,MATCH(B19,Invoices!$O$5:$O$1000,0)))</f>
      </c>
      <c r="D19" s="4">
        <f>IF(B19&lt;=0,"",INDEX(Invoices!$B$5:$B$1000,MATCH(B19,Invoices!$O$5:$O$1000,0)))</f>
      </c>
      <c r="E19" s="4">
        <f>IF(C19="","",IF(IFERROR(INDEX(Clients!$B$5:$B$1000,MATCH(D19,Clients!$A$5:$A$1000,0))&amp;"","")="","there",INDEX(Clients!$B$5:$B$1000,MATCH(D19,Clients!$A$5:$A$1000,0))))</f>
      </c>
      <c r="F19" s="9">
        <f>IF(B19&lt;=0,"",INDEX(Invoices!$J$5:$J$1000,MATCH(B19,Invoices!$O$5:$O$1000,0)))</f>
      </c>
      <c r="G19" s="4">
        <f>IF(B19&lt;=0,"",INDEX(Invoices!$L$5:$L$1000,MATCH(B19,Invoices!$O$5:$O$1000,0)))</f>
      </c>
      <c r="H19" s="12">
        <f>IF(B19&lt;=0,"",INDEX(Invoices!$I$5:$I$1000,MATCH(B19,Invoices!$O$5:$O$1000,0)))</f>
      </c>
      <c r="I19" s="4">
        <f>IF(B19&lt;=0,"",INDEX(Invoices!$N$5:$N$1000,MATCH(B19,Invoices!$O$5:$O$1000,0)))</f>
      </c>
      <c r="J19" s="4">
        <f>IF(C19="","",Settings!$B$7&amp;IF(ROUND(F19,2)&gt;=1000000,INT(ROUND(F19,2)/1000000)&amp;","&amp;RIGHT("00"&amp;INT(MOD(ROUND(F19,2),1000000)/1000),3)&amp;","&amp;RIGHT(TEXT(ROUND(F19,2),"0.00"),6),IF(ROUND(F19,2)&gt;=1000,INT(ROUND(F19,2)/1000)&amp;","&amp;RIGHT(TEXT(ROUND(F19,2),"0.00"),6),TEXT(ROUND(F19,2),"0.00"))))</f>
      </c>
      <c r="K19" s="4">
        <f>IF(C19="","",CHOOSE(MONTH(H19),"Jan","Feb","Mar","Apr","May","Jun","Jul","Aug","Sep","Oct","Nov","Dec")&amp;" "&amp;DAY(H19)&amp;", "&amp;YEAR(H19))</f>
      </c>
      <c r="L19" s="4">
        <f>IF(C19="","",SUBSTITUTE(SUBSTITUTE(SUBSTITUTE(SUBSTITUTE(INDEX(Settings!$B$31:$B$38,MATCH(I19,Settings!$A$31:$A$38,0)),"{first}",E19),"{inv}",C19),"{due}",K19),"{days}",G19))</f>
      </c>
      <c r="M19" s="4">
        <f>IF(C19="","",SUBSTITUTE(SUBSTITUTE(SUBSTITUTE(SUBSTITUTE(SUBSTITUTE(SUBSTITUTE(SUBSTITUTE(SUBSTITUTE(INDEX(Settings!$B$31:$B$38,MATCH(I19,Settings!$A$31:$A$38,0)+1),"{first}",E19),"{inv}",C19),"{amount}",J19),"{due}",K19),"{days}",G19),"{paydate}",Settings!$C$40),"{me}",Settings!$C$41),"{latefee}",Settings!$C$42))</f>
      </c>
    </row>
  </sheetData>
  <conditionalFormatting sqref="I5:I1000">
    <cfRule type="containsText" dxfId="18" priority="1">
      <formula>NOT(ISERROR(SEARCH("Final notice",I5)))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Settings</vt:lpstr>
      <vt:lpstr>Clients</vt:lpstr>
      <vt:lpstr>Projects</vt:lpstr>
      <vt:lpstr>Invoices</vt:lpstr>
      <vt:lpstr>Monthly</vt:lpstr>
      <vt:lpstr>Dashboard</vt:lpstr>
      <vt:lpstr>Reminders Today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Hustle Studio</dc:creator>
  <dc:title/>
  <dc:subject/>
  <dc:description/>
  <cp:keywords/>
  <cp:category/>
  <cp:lastModifiedBy>Unknown</cp:lastModifiedBy>
  <dcterms:created xsi:type="dcterms:W3CDTF">2026-10-09T08:39:28Z</dcterms:created>
  <dcterms:modified xsi:type="dcterms:W3CDTF">2026-10-09T08:39:28Z</dcterms:modified>
</cp:coreProperties>
</file>