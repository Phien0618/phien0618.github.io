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" state="visible" r:id="rId4"/>
    <sheet sheetId="2" name="Dashboard" state="visible" r:id="rId5"/>
    <sheet sheetId="3" name="Clients" state="visible" r:id="rId6"/>
    <sheet sheetId="4" name="Projects" state="visible" r:id="rId7"/>
    <sheet sheetId="5" name="Invoices" state="visible" r:id="rId8"/>
  </sheets>
  <calcPr calcId="171027"/>
</workbook>
</file>

<file path=xl/sharedStrings.xml><?xml version="1.0" encoding="utf-8"?>
<sst xmlns="http://schemas.openxmlformats.org/spreadsheetml/2006/main" count="121" uniqueCount="103">
  <si>
    <t>Freelance Client &amp; Invoice Tracker — start here</t>
  </si>
  <si>
    <t>Yellow cells are yours to fill in. Everything else calculates. Overwrite or delete the example rows when you're ready.</t>
  </si>
  <si>
    <t>Step</t>
  </si>
  <si>
    <t>What to do</t>
  </si>
  <si>
    <t>Dashboard: type your monthly income goal in the goal cell. Everything else on that sheet updates by itself.</t>
  </si>
  <si>
    <t>Clients: one row per client. Invoiced, paid and outstanding totals pull from Invoices (client names must match exactly).</t>
  </si>
  <si>
    <t>Projects: log every lead, proposal and job. Win chance turns your pipeline into a realistic weighted number. Log hours to see your real hourly rate.</t>
  </si>
  <si>
    <t>Invoices: enter issue date, terms in days and amount. Due date, balance, status, days overdue and the reminder to send are calculated.</t>
  </si>
  <si>
    <t>When an invoice is paid, enter paid date and amount paid. Status flips to Paid. Partial payments keep the rest open.</t>
  </si>
  <si>
    <t>Every Monday (5 minutes): sort Invoices by Days overdue, send the reminder in the 'Send this' column, then check Dashboard.</t>
  </si>
  <si>
    <t>Need more rows? Copy the last row and paste it below; formulas carry over. Dashboard and client totals read rows 5 to 500.</t>
  </si>
  <si>
    <t>Works in Excel 2016+, Google Sheets (File &gt; Import) and LibreOffice. Any currency: change the cell format.</t>
  </si>
  <si>
    <t>Dashboard</t>
  </si>
  <si>
    <t>Only the goal cell (B5) is an input. All other numbers update from the Clients, Projects and Invoices sheets.</t>
  </si>
  <si>
    <t>Metric</t>
  </si>
  <si>
    <t>Value</t>
  </si>
  <si>
    <t>What it tells you</t>
  </si>
  <si>
    <t>Monthly income goal (edit)</t>
  </si>
  <si>
    <t>Your target. Type your own number in B5.</t>
  </si>
  <si>
    <t>Collected this month</t>
  </si>
  <si>
    <t>Cash actually received this calendar month (by paid date).</t>
  </si>
  <si>
    <t>Progress to goal</t>
  </si>
  <si>
    <t>Below 50% after mid-month? Chase overdue invoices and follow up proposals.</t>
  </si>
  <si>
    <t>Total invoiced</t>
  </si>
  <si>
    <t>Everything you've billed.</t>
  </si>
  <si>
    <t>Total collected</t>
  </si>
  <si>
    <t>Everything you've been paid.</t>
  </si>
  <si>
    <t>Outstanding</t>
  </si>
  <si>
    <t>Billed but not yet paid (open + overdue).</t>
  </si>
  <si>
    <t>Overdue amount</t>
  </si>
  <si>
    <t>Money past its due date. Your first job every Monday.</t>
  </si>
  <si>
    <t>Overdue invoices</t>
  </si>
  <si>
    <t>How many reminders you owe this week.</t>
  </si>
  <si>
    <t>Weighted pipeline</t>
  </si>
  <si>
    <t>Quoted fees x win chance: a realistic view of upcoming work.</t>
  </si>
  <si>
    <t>Average effective hourly rate</t>
  </si>
  <si>
    <t>Fee divided by hours actually logged. Compare it to your floor rate.</t>
  </si>
  <si>
    <t>Clients</t>
  </si>
  <si>
    <t>Type the client name exactly as on the Invoices sheet. Totals fill in automatically.</t>
  </si>
  <si>
    <t>Client</t>
  </si>
  <si>
    <t>Contact</t>
  </si>
  <si>
    <t>Email</t>
  </si>
  <si>
    <t>Source</t>
  </si>
  <si>
    <t>Total paid</t>
  </si>
  <si>
    <t>Notes</t>
  </si>
  <si>
    <t>Northwind Studio</t>
  </si>
  <si>
    <t>Dana Reyes</t>
  </si>
  <si>
    <t>dana@example.com</t>
  </si>
  <si>
    <t>Referral</t>
  </si>
  <si>
    <t>Ask for 50% deposit next time</t>
  </si>
  <si>
    <t>Lumen Coffee</t>
  </si>
  <si>
    <t>Sam Patel</t>
  </si>
  <si>
    <t>sam@example.com</t>
  </si>
  <si>
    <t>LinkedIn</t>
  </si>
  <si>
    <t>Atlas Legal</t>
  </si>
  <si>
    <t>Jo Martin</t>
  </si>
  <si>
    <t>jo@example.com</t>
  </si>
  <si>
    <t>Past client</t>
  </si>
  <si>
    <t>Monthly retainer</t>
  </si>
  <si>
    <t>Fern &amp; Field</t>
  </si>
  <si>
    <t>Alex Kim</t>
  </si>
  <si>
    <t>alex@example.com</t>
  </si>
  <si>
    <t>Website</t>
  </si>
  <si>
    <t>Proposal sent</t>
  </si>
  <si>
    <t>Projects &amp; pipeline</t>
  </si>
  <si>
    <t>Log every lead and proposal, not just won work. Win chance: Lead 20%, Proposal sent 50%, Won/Done 100%, Lost 0%.</t>
  </si>
  <si>
    <t>Project</t>
  </si>
  <si>
    <t>Stage</t>
  </si>
  <si>
    <t>Quoted fee</t>
  </si>
  <si>
    <t>Win chance</t>
  </si>
  <si>
    <t>Weighted value</t>
  </si>
  <si>
    <t>Est. hours</t>
  </si>
  <si>
    <t>Hours logged</t>
  </si>
  <si>
    <t>Planned rate</t>
  </si>
  <si>
    <t>Effective rate</t>
  </si>
  <si>
    <t>Hours over (+) / under (-)</t>
  </si>
  <si>
    <t>Brand refresh</t>
  </si>
  <si>
    <t>Done</t>
  </si>
  <si>
    <t>Website copy</t>
  </si>
  <si>
    <t>Won</t>
  </si>
  <si>
    <t>Packaging concept</t>
  </si>
  <si>
    <t>Invoices</t>
  </si>
  <si>
    <t>Enter issue date, terms (days) and amount. When paid, add paid date and amount paid. Status, days overdue and the reminder to send are automatic.</t>
  </si>
  <si>
    <t>Invoice #</t>
  </si>
  <si>
    <t>Issue date</t>
  </si>
  <si>
    <t>Terms (days)</t>
  </si>
  <si>
    <t>Due date</t>
  </si>
  <si>
    <t>Amount</t>
  </si>
  <si>
    <t>Paid date</t>
  </si>
  <si>
    <t>Amount paid</t>
  </si>
  <si>
    <t>Balance</t>
  </si>
  <si>
    <t>Status</t>
  </si>
  <si>
    <t>Days overdue</t>
  </si>
  <si>
    <t>Send this</t>
  </si>
  <si>
    <t>INV-001</t>
  </si>
  <si>
    <t>INV-002</t>
  </si>
  <si>
    <t>Website copy (50% deposit)</t>
  </si>
  <si>
    <t>INV-003</t>
  </si>
  <si>
    <t>Retainer, last month</t>
  </si>
  <si>
    <t>INV-004</t>
  </si>
  <si>
    <t>Website copy (balance)</t>
  </si>
  <si>
    <t>INV-005</t>
  </si>
  <si>
    <t>Retainer,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</si>
</sst>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"/>
    <numFmt numFmtId="165" formatCode="0.0"/>
    <numFmt numFmtId="166" formatCode="yyyy-mm-dd"/>
    <numFmt numFmtId="167" formatCode="$#,##0.00"/>
  </numFmts>
  <fonts count="4" x14ac:knownFonts="1">
    <font>
      <color theme="1"/>
      <family val="2"/>
      <scheme val="minor"/>
      <sz val="11"/>
      <name val="Calibri"/>
    </font>
    <font>
      <b/>
      <color rgb="FF1F2A44"/>
      <sz val="16"/>
    </font>
    <font>
      <i/>
      <color rgb="FF6B6F7A"/>
      <sz val="10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FFF4E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DCC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0" fillId="0" borderId="1" xfId="0" applyBorder="1"/>
    <xf numFmtId="164" fontId="0" fillId="0" borderId="1" xfId="0" applyNumberFormat="1" applyBorder="1"/>
    <xf numFmtId="9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164" fontId="0" fillId="3" borderId="1" xfId="0" applyNumberFormat="1" applyFill="1" applyBorder="1"/>
    <xf numFmtId="9" fontId="0" fillId="3" borderId="1" xfId="0" applyNumberFormat="1" applyFill="1" applyBorder="1"/>
    <xf numFmtId="165" fontId="0" fillId="0" borderId="1" xfId="0" applyNumberFormat="1" applyBorder="1"/>
    <xf numFmtId="166" fontId="0" fillId="3" borderId="1" xfId="0" applyNumberFormat="1" applyFill="1" applyBorder="1"/>
    <xf numFmtId="166" fontId="0" fillId="0" borderId="1" xfId="0" applyNumberFormat="1" applyBorder="1"/>
    <xf numFmtId="167" fontId="0" fillId="3" borderId="1" xfId="0" applyNumberFormat="1" applyFill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x14ac:dyDescent="0.25">
      <c r="A5" s="4">
        <v>1</v>
      </c>
      <c r="B5" s="4" t="s">
        <v>4</v>
      </c>
    </row>
    <row r="6" spans="1:2" x14ac:dyDescent="0.25">
      <c r="A6" s="4">
        <v>2</v>
      </c>
      <c r="B6" s="4" t="s">
        <v>5</v>
      </c>
    </row>
    <row r="7" spans="1:2" x14ac:dyDescent="0.25">
      <c r="A7" s="4">
        <v>3</v>
      </c>
      <c r="B7" s="4" t="s">
        <v>6</v>
      </c>
    </row>
    <row r="8" spans="1:2" x14ac:dyDescent="0.25">
      <c r="A8" s="4">
        <v>4</v>
      </c>
      <c r="B8" s="4" t="s">
        <v>7</v>
      </c>
    </row>
    <row r="9" spans="1:2" x14ac:dyDescent="0.25">
      <c r="A9" s="4">
        <v>5</v>
      </c>
      <c r="B9" s="4" t="s">
        <v>8</v>
      </c>
    </row>
    <row r="10" spans="1:2" x14ac:dyDescent="0.25">
      <c r="A10" s="4">
        <v>6</v>
      </c>
      <c r="B10" s="4" t="s">
        <v>9</v>
      </c>
    </row>
    <row r="11" spans="1:2" x14ac:dyDescent="0.25">
      <c r="A11" s="4">
        <v>7</v>
      </c>
      <c r="B11" s="4" t="s">
        <v>10</v>
      </c>
    </row>
    <row r="12" spans="1:2" x14ac:dyDescent="0.25">
      <c r="A12" s="4">
        <v>8</v>
      </c>
      <c r="B12" s="4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8" customWidth="1"/>
    <col min="3" max="3" width="70" customWidth="1"/>
  </cols>
  <sheetData>
    <row r="1" spans="1:1" x14ac:dyDescent="0.25">
      <c r="A1" s="1" t="s">
        <v>12</v>
      </c>
    </row>
    <row r="2" spans="1:1" x14ac:dyDescent="0.25">
      <c r="A2" s="2" t="s">
        <v>13</v>
      </c>
    </row>
    <row r="4" spans="1:3" x14ac:dyDescent="0.25">
      <c r="A4" s="3" t="s">
        <v>14</v>
      </c>
      <c r="B4" s="3" t="s">
        <v>15</v>
      </c>
      <c r="C4" s="3" t="s">
        <v>16</v>
      </c>
    </row>
    <row r="5" spans="1:3" x14ac:dyDescent="0.25">
      <c r="A5" s="4" t="s">
        <v>17</v>
      </c>
      <c r="B5" s="5">
        <v>6000</v>
      </c>
      <c r="C5" s="4" t="s">
        <v>18</v>
      </c>
    </row>
    <row r="6" spans="1:3" x14ac:dyDescent="0.25">
      <c r="A6" s="4" t="s">
        <v>19</v>
      </c>
      <c r="B6" s="5">
        <f>SUMPRODUCT((MONTH(Invoices!H5:H500)=MONTH(TODAY()))*(YEAR(Invoices!H5:H500)=YEAR(TODAY()))*Invoices!I5:I500)</f>
      </c>
      <c r="C6" s="4" t="s">
        <v>20</v>
      </c>
    </row>
    <row r="7" spans="1:3" x14ac:dyDescent="0.25">
      <c r="A7" s="4" t="s">
        <v>21</v>
      </c>
      <c r="B7" s="6">
        <f>IFERROR(B6/B5,0)</f>
      </c>
      <c r="C7" s="4" t="s">
        <v>22</v>
      </c>
    </row>
    <row r="8" spans="1:3" x14ac:dyDescent="0.25">
      <c r="A8" s="4" t="s">
        <v>23</v>
      </c>
      <c r="B8" s="5">
        <f>SUM(Invoices!G5:G500)</f>
      </c>
      <c r="C8" s="4" t="s">
        <v>24</v>
      </c>
    </row>
    <row r="9" spans="1:3" x14ac:dyDescent="0.25">
      <c r="A9" s="4" t="s">
        <v>25</v>
      </c>
      <c r="B9" s="5">
        <f>SUM(Invoices!I5:I500)</f>
      </c>
      <c r="C9" s="4" t="s">
        <v>26</v>
      </c>
    </row>
    <row r="10" spans="1:3" x14ac:dyDescent="0.25">
      <c r="A10" s="4" t="s">
        <v>27</v>
      </c>
      <c r="B10" s="5">
        <f>SUM(Invoices!J5:J500)</f>
      </c>
      <c r="C10" s="4" t="s">
        <v>28</v>
      </c>
    </row>
    <row r="11" spans="1:3" x14ac:dyDescent="0.25">
      <c r="A11" s="4" t="s">
        <v>29</v>
      </c>
      <c r="B11" s="5">
        <f>SUMIF(Invoices!K5:K500,"Overdue",Invoices!J5:J500)</f>
      </c>
      <c r="C11" s="4" t="s">
        <v>30</v>
      </c>
    </row>
    <row r="12" spans="1:3" x14ac:dyDescent="0.25">
      <c r="A12" s="4" t="s">
        <v>31</v>
      </c>
      <c r="B12" s="7">
        <f>COUNTIF(Invoices!K5:K500,"Overdue")</f>
      </c>
      <c r="C12" s="4" t="s">
        <v>32</v>
      </c>
    </row>
    <row r="13" spans="1:3" x14ac:dyDescent="0.25">
      <c r="A13" s="4" t="s">
        <v>33</v>
      </c>
      <c r="B13" s="5">
        <f>SUM(Projects!F5:F500)</f>
      </c>
      <c r="C13" s="4" t="s">
        <v>34</v>
      </c>
    </row>
    <row r="14" spans="1:3" x14ac:dyDescent="0.25">
      <c r="A14" s="4" t="s">
        <v>35</v>
      </c>
      <c r="B14" s="5">
        <f>IFERROR(AVERAGE(Projects!J5:J500),0)</f>
      </c>
      <c r="C14" s="4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6" customWidth="1"/>
    <col min="4" max="5" width="16" customWidth="1"/>
    <col min="6" max="7" width="14" customWidth="1"/>
    <col min="8" max="8" width="30" customWidth="1"/>
  </cols>
  <sheetData>
    <row r="1" spans="1:1" x14ac:dyDescent="0.25">
      <c r="A1" s="1" t="s">
        <v>37</v>
      </c>
    </row>
    <row r="2" spans="1:1" x14ac:dyDescent="0.25">
      <c r="A2" s="2" t="s">
        <v>38</v>
      </c>
    </row>
    <row r="4" spans="1:8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23</v>
      </c>
      <c r="F4" s="3" t="s">
        <v>43</v>
      </c>
      <c r="G4" s="3" t="s">
        <v>27</v>
      </c>
      <c r="H4" s="3" t="s">
        <v>44</v>
      </c>
    </row>
    <row r="5" spans="1:8" x14ac:dyDescent="0.25">
      <c r="A5" s="8" t="s">
        <v>45</v>
      </c>
      <c r="B5" s="8" t="s">
        <v>46</v>
      </c>
      <c r="C5" s="8" t="s">
        <v>47</v>
      </c>
      <c r="D5" s="8" t="s">
        <v>48</v>
      </c>
      <c r="E5" s="5">
        <f>IF(A5="","",SUMIF(Invoices!$B$5:$B$500,A5,Invoices!$G$5:$G$500))</f>
      </c>
      <c r="F5" s="5">
        <f>IF(A5="","",SUMIF(Invoices!$B$5:$B$500,A5,Invoices!$I$5:$I$500))</f>
      </c>
      <c r="G5" s="5">
        <f>IF(A5="","",E5-F5)</f>
      </c>
      <c r="H5" s="8" t="s">
        <v>49</v>
      </c>
    </row>
    <row r="6" spans="1:8" x14ac:dyDescent="0.25">
      <c r="A6" s="8" t="s">
        <v>50</v>
      </c>
      <c r="B6" s="8" t="s">
        <v>51</v>
      </c>
      <c r="C6" s="8" t="s">
        <v>52</v>
      </c>
      <c r="D6" s="8" t="s">
        <v>53</v>
      </c>
      <c r="E6" s="5">
        <f>IF(A6="","",SUMIF(Invoices!$B$5:$B$500,A6,Invoices!$G$5:$G$500))</f>
      </c>
      <c r="F6" s="5">
        <f>IF(A6="","",SUMIF(Invoices!$B$5:$B$500,A6,Invoices!$I$5:$I$500))</f>
      </c>
      <c r="G6" s="5">
        <f>IF(A6="","",E6-F6)</f>
      </c>
      <c r="H6" s="8"/>
    </row>
    <row r="7" spans="1:8" x14ac:dyDescent="0.25">
      <c r="A7" s="8" t="s">
        <v>54</v>
      </c>
      <c r="B7" s="8" t="s">
        <v>55</v>
      </c>
      <c r="C7" s="8" t="s">
        <v>56</v>
      </c>
      <c r="D7" s="8" t="s">
        <v>57</v>
      </c>
      <c r="E7" s="5">
        <f>IF(A7="","",SUMIF(Invoices!$B$5:$B$500,A7,Invoices!$G$5:$G$500))</f>
      </c>
      <c r="F7" s="5">
        <f>IF(A7="","",SUMIF(Invoices!$B$5:$B$500,A7,Invoices!$I$5:$I$500))</f>
      </c>
      <c r="G7" s="5">
        <f>IF(A7="","",E7-F7)</f>
      </c>
      <c r="H7" s="8" t="s">
        <v>58</v>
      </c>
    </row>
    <row r="8" spans="1:8" x14ac:dyDescent="0.25">
      <c r="A8" s="8" t="s">
        <v>59</v>
      </c>
      <c r="B8" s="8" t="s">
        <v>60</v>
      </c>
      <c r="C8" s="8" t="s">
        <v>61</v>
      </c>
      <c r="D8" s="8" t="s">
        <v>62</v>
      </c>
      <c r="E8" s="5">
        <f>IF(A8="","",SUMIF(Invoices!$B$5:$B$500,A8,Invoices!$G$5:$G$500))</f>
      </c>
      <c r="F8" s="5">
        <f>IF(A8="","",SUMIF(Invoices!$B$5:$B$500,A8,Invoices!$I$5:$I$500))</f>
      </c>
      <c r="G8" s="5">
        <f>IF(A8="","",E8-F8)</f>
      </c>
      <c r="H8" s="8" t="s">
        <v>63</v>
      </c>
    </row>
    <row r="9" spans="1:8" x14ac:dyDescent="0.25">
      <c r="A9" s="8"/>
      <c r="B9" s="8"/>
      <c r="C9" s="8"/>
      <c r="D9" s="8"/>
      <c r="E9" s="5">
        <f>IF(A9="","",SUMIF(Invoices!$B$5:$B$500,A9,Invoices!$G$5:$G$500))</f>
      </c>
      <c r="F9" s="5">
        <f>IF(A9="","",SUMIF(Invoices!$B$5:$B$500,A9,Invoices!$I$5:$I$500))</f>
      </c>
      <c r="G9" s="5">
        <f>IF(A9="","",E9-F9)</f>
      </c>
      <c r="H9" s="8"/>
    </row>
    <row r="10" spans="1:8" x14ac:dyDescent="0.25">
      <c r="A10" s="8"/>
      <c r="B10" s="8"/>
      <c r="C10" s="8"/>
      <c r="D10" s="8"/>
      <c r="E10" s="5">
        <f>IF(A10="","",SUMIF(Invoices!$B$5:$B$500,A10,Invoices!$G$5:$G$500))</f>
      </c>
      <c r="F10" s="5">
        <f>IF(A10="","",SUMIF(Invoices!$B$5:$B$500,A10,Invoices!$I$5:$I$500))</f>
      </c>
      <c r="G10" s="5">
        <f>IF(A10="","",E10-F10)</f>
      </c>
      <c r="H10" s="8"/>
    </row>
    <row r="11" spans="1:8" x14ac:dyDescent="0.25">
      <c r="A11" s="8"/>
      <c r="B11" s="8"/>
      <c r="C11" s="8"/>
      <c r="D11" s="8"/>
      <c r="E11" s="5">
        <f>IF(A11="","",SUMIF(Invoices!$B$5:$B$500,A11,Invoices!$G$5:$G$500))</f>
      </c>
      <c r="F11" s="5">
        <f>IF(A11="","",SUMIF(Invoices!$B$5:$B$500,A11,Invoices!$I$5:$I$500))</f>
      </c>
      <c r="G11" s="5">
        <f>IF(A11="","",E11-F11)</f>
      </c>
      <c r="H11" s="8"/>
    </row>
    <row r="12" spans="1:8" x14ac:dyDescent="0.25">
      <c r="A12" s="8"/>
      <c r="B12" s="8"/>
      <c r="C12" s="8"/>
      <c r="D12" s="8"/>
      <c r="E12" s="5">
        <f>IF(A12="","",SUMIF(Invoices!$B$5:$B$500,A12,Invoices!$G$5:$G$500))</f>
      </c>
      <c r="F12" s="5">
        <f>IF(A12="","",SUMIF(Invoices!$B$5:$B$500,A12,Invoices!$I$5:$I$500))</f>
      </c>
      <c r="G12" s="5">
        <f>IF(A12="","",E12-F12)</f>
      </c>
      <c r="H12" s="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0" customWidth="1"/>
    <col min="3" max="3" width="16" customWidth="1"/>
    <col min="4" max="4" width="14" customWidth="1"/>
    <col min="5" max="5" width="12" customWidth="1"/>
    <col min="6" max="6" width="16" customWidth="1"/>
    <col min="7" max="7" width="12" customWidth="1"/>
    <col min="8" max="9" width="14" customWidth="1"/>
    <col min="10" max="10" width="15" customWidth="1"/>
    <col min="11" max="11" width="24" customWidth="1"/>
  </cols>
  <sheetData>
    <row r="1" spans="1:1" x14ac:dyDescent="0.25">
      <c r="A1" s="1" t="s">
        <v>64</v>
      </c>
    </row>
    <row r="2" spans="1:1" x14ac:dyDescent="0.25">
      <c r="A2" s="2" t="s">
        <v>65</v>
      </c>
    </row>
    <row r="4" spans="1:11" x14ac:dyDescent="0.25">
      <c r="A4" s="3" t="s">
        <v>66</v>
      </c>
      <c r="B4" s="3" t="s">
        <v>39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</row>
    <row r="5" spans="1:11" x14ac:dyDescent="0.25">
      <c r="A5" s="8" t="s">
        <v>76</v>
      </c>
      <c r="B5" s="8" t="s">
        <v>45</v>
      </c>
      <c r="C5" s="8" t="s">
        <v>77</v>
      </c>
      <c r="D5" s="9">
        <v>4200</v>
      </c>
      <c r="E5" s="10">
        <v>1</v>
      </c>
      <c r="F5" s="5">
        <f>IF(D5="","",D5*E5)</f>
      </c>
      <c r="G5" s="8">
        <v>30</v>
      </c>
      <c r="H5" s="8">
        <v>38</v>
      </c>
      <c r="I5" s="5">
        <f>IF(N(G5)&gt;0,D5/G5,"")</f>
      </c>
      <c r="J5" s="5">
        <f>IF(N(H5)&gt;0,D5/H5,"")</f>
      </c>
      <c r="K5" s="11">
        <f>IF(G5="","",H5-G5)</f>
      </c>
    </row>
    <row r="6" spans="1:11" x14ac:dyDescent="0.25">
      <c r="A6" s="8" t="s">
        <v>78</v>
      </c>
      <c r="B6" s="8" t="s">
        <v>50</v>
      </c>
      <c r="C6" s="8" t="s">
        <v>79</v>
      </c>
      <c r="D6" s="9">
        <v>2400</v>
      </c>
      <c r="E6" s="10">
        <v>1</v>
      </c>
      <c r="F6" s="5">
        <f>IF(D6="","",D6*E6)</f>
      </c>
      <c r="G6" s="8">
        <v>20</v>
      </c>
      <c r="H6" s="8">
        <v>14</v>
      </c>
      <c r="I6" s="5">
        <f>IF(N(G6)&gt;0,D6/G6,"")</f>
      </c>
      <c r="J6" s="5">
        <f>IF(N(H6)&gt;0,D6/H6,"")</f>
      </c>
      <c r="K6" s="11">
        <f>IF(G6="","",H6-G6)</f>
      </c>
    </row>
    <row r="7" spans="1:11" x14ac:dyDescent="0.25">
      <c r="A7" s="8" t="s">
        <v>58</v>
      </c>
      <c r="B7" s="8" t="s">
        <v>54</v>
      </c>
      <c r="C7" s="8" t="s">
        <v>79</v>
      </c>
      <c r="D7" s="9">
        <v>1200</v>
      </c>
      <c r="E7" s="10">
        <v>1</v>
      </c>
      <c r="F7" s="5">
        <f>IF(D7="","",D7*E7)</f>
      </c>
      <c r="G7" s="8">
        <v>12</v>
      </c>
      <c r="H7" s="8">
        <v>13</v>
      </c>
      <c r="I7" s="5">
        <f>IF(N(G7)&gt;0,D7/G7,"")</f>
      </c>
      <c r="J7" s="5">
        <f>IF(N(H7)&gt;0,D7/H7,"")</f>
      </c>
      <c r="K7" s="11">
        <f>IF(G7="","",H7-G7)</f>
      </c>
    </row>
    <row r="8" spans="1:11" x14ac:dyDescent="0.25">
      <c r="A8" s="8" t="s">
        <v>80</v>
      </c>
      <c r="B8" s="8" t="s">
        <v>59</v>
      </c>
      <c r="C8" s="8" t="s">
        <v>63</v>
      </c>
      <c r="D8" s="9">
        <v>3200</v>
      </c>
      <c r="E8" s="10">
        <v>0.5</v>
      </c>
      <c r="F8" s="5">
        <f>IF(D8="","",D8*E8)</f>
      </c>
      <c r="G8" s="8">
        <v>40</v>
      </c>
      <c r="H8" s="8">
        <v>0</v>
      </c>
      <c r="I8" s="5">
        <f>IF(N(G8)&gt;0,D8/G8,"")</f>
      </c>
      <c r="J8" s="5">
        <f>IF(N(H8)&gt;0,D8/H8,"")</f>
      </c>
      <c r="K8" s="11">
        <f>IF(G8="","",H8-G8)</f>
      </c>
    </row>
    <row r="9" spans="1:11" x14ac:dyDescent="0.25">
      <c r="A9" s="8"/>
      <c r="B9" s="8"/>
      <c r="C9" s="8"/>
      <c r="D9" s="9"/>
      <c r="E9" s="10"/>
      <c r="F9" s="5">
        <f>IF(D9="","",D9*E9)</f>
      </c>
      <c r="G9" s="8"/>
      <c r="H9" s="8"/>
      <c r="I9" s="5">
        <f>IF(N(G9)&gt;0,D9/G9,"")</f>
      </c>
      <c r="J9" s="5">
        <f>IF(N(H9)&gt;0,D9/H9,"")</f>
      </c>
      <c r="K9" s="11">
        <f>IF(G9="","",H9-G9)</f>
      </c>
    </row>
    <row r="10" spans="1:11" x14ac:dyDescent="0.25">
      <c r="A10" s="8"/>
      <c r="B10" s="8"/>
      <c r="C10" s="8"/>
      <c r="D10" s="9"/>
      <c r="E10" s="10"/>
      <c r="F10" s="5">
        <f>IF(D10="","",D10*E10)</f>
      </c>
      <c r="G10" s="8"/>
      <c r="H10" s="8"/>
      <c r="I10" s="5">
        <f>IF(N(G10)&gt;0,D10/G10,"")</f>
      </c>
      <c r="J10" s="5">
        <f>IF(N(H10)&gt;0,D10/H10,"")</f>
      </c>
      <c r="K10" s="11">
        <f>IF(G10="","",H10-G10)</f>
      </c>
    </row>
    <row r="11" spans="1:11" x14ac:dyDescent="0.25">
      <c r="A11" s="8"/>
      <c r="B11" s="8"/>
      <c r="C11" s="8"/>
      <c r="D11" s="9"/>
      <c r="E11" s="10"/>
      <c r="F11" s="5">
        <f>IF(D11="","",D11*E11)</f>
      </c>
      <c r="G11" s="8"/>
      <c r="H11" s="8"/>
      <c r="I11" s="5">
        <f>IF(N(G11)&gt;0,D11/G11,"")</f>
      </c>
      <c r="J11" s="5">
        <f>IF(N(H11)&gt;0,D11/H11,"")</f>
      </c>
      <c r="K11" s="11">
        <f>IF(G11="","",H11-G11)</f>
      </c>
    </row>
    <row r="12" spans="1:11" x14ac:dyDescent="0.25">
      <c r="A12" s="8"/>
      <c r="B12" s="8"/>
      <c r="C12" s="8"/>
      <c r="D12" s="9"/>
      <c r="E12" s="10"/>
      <c r="F12" s="5">
        <f>IF(D12="","",D12*E12)</f>
      </c>
      <c r="G12" s="8"/>
      <c r="H12" s="8"/>
      <c r="I12" s="5">
        <f>IF(N(G12)&gt;0,D12/G12,"")</f>
      </c>
      <c r="J12" s="5">
        <f>IF(N(H12)&gt;0,D12/H12,"")</f>
      </c>
      <c r="K12" s="11">
        <f>IF(G12="","",H12-G12)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0" customWidth="1"/>
    <col min="3" max="3" width="24" customWidth="1"/>
    <col min="4" max="6" width="13" customWidth="1"/>
    <col min="7" max="7" width="12" customWidth="1"/>
    <col min="8" max="9" width="13" customWidth="1"/>
    <col min="10" max="10" width="12" customWidth="1"/>
    <col min="11" max="11" width="11" customWidth="1"/>
    <col min="12" max="12" width="13" customWidth="1"/>
    <col min="13" max="13" width="24" customWidth="1"/>
  </cols>
  <sheetData>
    <row r="1" spans="1:1" x14ac:dyDescent="0.25">
      <c r="A1" s="1" t="s">
        <v>81</v>
      </c>
    </row>
    <row r="2" spans="1:1" x14ac:dyDescent="0.25">
      <c r="A2" s="2" t="s">
        <v>82</v>
      </c>
    </row>
    <row r="4" spans="1:13" x14ac:dyDescent="0.25">
      <c r="A4" s="3" t="s">
        <v>83</v>
      </c>
      <c r="B4" s="3" t="s">
        <v>39</v>
      </c>
      <c r="C4" s="3" t="s">
        <v>66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 x14ac:dyDescent="0.25">
      <c r="A5" s="8" t="s">
        <v>94</v>
      </c>
      <c r="B5" s="8" t="s">
        <v>45</v>
      </c>
      <c r="C5" s="8" t="s">
        <v>76</v>
      </c>
      <c r="D5" s="12">
        <f>TODAY()-75</f>
      </c>
      <c r="E5" s="8">
        <v>14</v>
      </c>
      <c r="F5" s="13">
        <f>IF(D5="","",D5+E5)</f>
      </c>
      <c r="G5" s="14">
        <v>4200</v>
      </c>
      <c r="H5" s="12">
        <f>TODAY()-58</f>
      </c>
      <c r="I5" s="14">
        <v>4200</v>
      </c>
      <c r="J5" s="15">
        <f>IF(G5="","",G5-N(I5))</f>
      </c>
      <c r="K5" s="4">
        <f>IF(G5="","",IF(J5&lt;=0,"Paid",IF(TODAY()&gt;F5,"Overdue","Open")))</f>
      </c>
      <c r="L5" s="7">
        <f>IF(K5="Overdue",TODAY()-F5,"")</f>
      </c>
      <c r="M5" s="4">
        <f>IF(K5&lt;&gt;"Overdue","",IF(L5&lt;=7,"Friendly nudge",IF(L5&lt;=21,"Firm reminder","Final notice + late fee")))</f>
      </c>
    </row>
    <row r="6" spans="1:13" x14ac:dyDescent="0.25">
      <c r="A6" s="8" t="s">
        <v>95</v>
      </c>
      <c r="B6" s="8" t="s">
        <v>50</v>
      </c>
      <c r="C6" s="8" t="s">
        <v>96</v>
      </c>
      <c r="D6" s="12">
        <f>TODAY()-38</f>
      </c>
      <c r="E6" s="8">
        <v>14</v>
      </c>
      <c r="F6" s="13">
        <f>IF(D6="","",D6+E6)</f>
      </c>
      <c r="G6" s="14">
        <v>1200</v>
      </c>
      <c r="H6" s="12">
        <f>TODAY()-30</f>
      </c>
      <c r="I6" s="14">
        <v>1200</v>
      </c>
      <c r="J6" s="15">
        <f>IF(G6="","",G6-N(I6))</f>
      </c>
      <c r="K6" s="4">
        <f>IF(G6="","",IF(J6&lt;=0,"Paid",IF(TODAY()&gt;F6,"Overdue","Open")))</f>
      </c>
      <c r="L6" s="7">
        <f>IF(K6="Overdue",TODAY()-F6,"")</f>
      </c>
      <c r="M6" s="4">
        <f>IF(K6&lt;&gt;"Overdue","",IF(L6&lt;=7,"Friendly nudge",IF(L6&lt;=21,"Firm reminder","Final notice + late fee")))</f>
      </c>
    </row>
    <row r="7" spans="1:13" x14ac:dyDescent="0.25">
      <c r="A7" s="8" t="s">
        <v>97</v>
      </c>
      <c r="B7" s="8" t="s">
        <v>54</v>
      </c>
      <c r="C7" s="8" t="s">
        <v>98</v>
      </c>
      <c r="D7" s="12">
        <f>TODAY()-40</f>
      </c>
      <c r="E7" s="8">
        <v>14</v>
      </c>
      <c r="F7" s="13">
        <f>IF(D7="","",D7+E7)</f>
      </c>
      <c r="G7" s="14">
        <v>1200</v>
      </c>
      <c r="H7" s="12"/>
      <c r="I7" s="14"/>
      <c r="J7" s="15">
        <f>IF(G7="","",G7-N(I7))</f>
      </c>
      <c r="K7" s="4">
        <f>IF(G7="","",IF(J7&lt;=0,"Paid",IF(TODAY()&gt;F7,"Overdue","Open")))</f>
      </c>
      <c r="L7" s="7">
        <f>IF(K7="Overdue",TODAY()-F7,"")</f>
      </c>
      <c r="M7" s="4">
        <f>IF(K7&lt;&gt;"Overdue","",IF(L7&lt;=7,"Friendly nudge",IF(L7&lt;=21,"Firm reminder","Final notice + late fee")))</f>
      </c>
    </row>
    <row r="8" spans="1:13" x14ac:dyDescent="0.25">
      <c r="A8" s="8" t="s">
        <v>99</v>
      </c>
      <c r="B8" s="8" t="s">
        <v>50</v>
      </c>
      <c r="C8" s="8" t="s">
        <v>100</v>
      </c>
      <c r="D8" s="12">
        <f>TODAY()-21</f>
      </c>
      <c r="E8" s="8">
        <v>7</v>
      </c>
      <c r="F8" s="13">
        <f>IF(D8="","",D8+E8)</f>
      </c>
      <c r="G8" s="14">
        <v>1200</v>
      </c>
      <c r="H8" s="12">
        <f>TODAY()-2</f>
      </c>
      <c r="I8" s="14">
        <v>600</v>
      </c>
      <c r="J8" s="15">
        <f>IF(G8="","",G8-N(I8))</f>
      </c>
      <c r="K8" s="4">
        <f>IF(G8="","",IF(J8&lt;=0,"Paid",IF(TODAY()&gt;F8,"Overdue","Open")))</f>
      </c>
      <c r="L8" s="7">
        <f>IF(K8="Overdue",TODAY()-F8,"")</f>
      </c>
      <c r="M8" s="4">
        <f>IF(K8&lt;&gt;"Overdue","",IF(L8&lt;=7,"Friendly nudge",IF(L8&lt;=21,"Firm reminder","Final notice + late fee")))</f>
      </c>
    </row>
    <row r="9" spans="1:13" x14ac:dyDescent="0.25">
      <c r="A9" s="8" t="s">
        <v>101</v>
      </c>
      <c r="B9" s="8" t="s">
        <v>54</v>
      </c>
      <c r="C9" s="8" t="s">
        <v>102</v>
      </c>
      <c r="D9" s="12">
        <f>TODAY()-18</f>
      </c>
      <c r="E9" s="8">
        <v>14</v>
      </c>
      <c r="F9" s="13">
        <f>IF(D9="","",D9+E9)</f>
      </c>
      <c r="G9" s="14">
        <v>1200</v>
      </c>
      <c r="H9" s="12"/>
      <c r="I9" s="14"/>
      <c r="J9" s="15">
        <f>IF(G9="","",G9-N(I9))</f>
      </c>
      <c r="K9" s="4">
        <f>IF(G9="","",IF(J9&lt;=0,"Paid",IF(TODAY()&gt;F9,"Overdue","Open")))</f>
      </c>
      <c r="L9" s="7">
        <f>IF(K9="Overdue",TODAY()-F9,"")</f>
      </c>
      <c r="M9" s="4">
        <f>IF(K9&lt;&gt;"Overdue","",IF(L9&lt;=7,"Friendly nudge",IF(L9&lt;=21,"Firm reminder","Final notice + late fee")))</f>
      </c>
    </row>
    <row r="10" spans="1:13" x14ac:dyDescent="0.25">
      <c r="A10" s="8"/>
      <c r="B10" s="8"/>
      <c r="C10" s="8"/>
      <c r="D10" s="12"/>
      <c r="E10" s="8"/>
      <c r="F10" s="13">
        <f>IF(D10="","",D10+E10)</f>
      </c>
      <c r="G10" s="14"/>
      <c r="H10" s="12"/>
      <c r="I10" s="14"/>
      <c r="J10" s="15">
        <f>IF(G10="","",G10-N(I10))</f>
      </c>
      <c r="K10" s="4">
        <f>IF(G10="","",IF(J10&lt;=0,"Paid",IF(TODAY()&gt;F10,"Overdue","Open")))</f>
      </c>
      <c r="L10" s="7">
        <f>IF(K10="Overdue",TODAY()-F10,"")</f>
      </c>
      <c r="M10" s="4">
        <f>IF(K10&lt;&gt;"Overdue","",IF(L10&lt;=7,"Friendly nudge",IF(L10&lt;=21,"Firm reminder","Final notice + late fee")))</f>
      </c>
    </row>
    <row r="11" spans="1:13" x14ac:dyDescent="0.25">
      <c r="A11" s="8"/>
      <c r="B11" s="8"/>
      <c r="C11" s="8"/>
      <c r="D11" s="12"/>
      <c r="E11" s="8"/>
      <c r="F11" s="13">
        <f>IF(D11="","",D11+E11)</f>
      </c>
      <c r="G11" s="14"/>
      <c r="H11" s="12"/>
      <c r="I11" s="14"/>
      <c r="J11" s="15">
        <f>IF(G11="","",G11-N(I11))</f>
      </c>
      <c r="K11" s="4">
        <f>IF(G11="","",IF(J11&lt;=0,"Paid",IF(TODAY()&gt;F11,"Overdue","Open")))</f>
      </c>
      <c r="L11" s="7">
        <f>IF(K11="Overdue",TODAY()-F11,"")</f>
      </c>
      <c r="M11" s="4">
        <f>IF(K11&lt;&gt;"Overdue","",IF(L11&lt;=7,"Friendly nudge",IF(L11&lt;=21,"Firm reminder","Final notice + late fee")))</f>
      </c>
    </row>
    <row r="12" spans="1:13" x14ac:dyDescent="0.25">
      <c r="A12" s="8"/>
      <c r="B12" s="8"/>
      <c r="C12" s="8"/>
      <c r="D12" s="12"/>
      <c r="E12" s="8"/>
      <c r="F12" s="13">
        <f>IF(D12="","",D12+E12)</f>
      </c>
      <c r="G12" s="14"/>
      <c r="H12" s="12"/>
      <c r="I12" s="14"/>
      <c r="J12" s="15">
        <f>IF(G12="","",G12-N(I12))</f>
      </c>
      <c r="K12" s="4">
        <f>IF(G12="","",IF(J12&lt;=0,"Paid",IF(TODAY()&gt;F12,"Overdue","Open")))</f>
      </c>
      <c r="L12" s="7">
        <f>IF(K12="Overdue",TODAY()-F12,"")</f>
      </c>
      <c r="M12" s="4">
        <f>IF(K12&lt;&gt;"Overdue","",IF(L12&lt;=7,"Friendly nudge",IF(L12&lt;=21,"Firm reminder","Final notice + late fee")))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</vt:lpstr>
      <vt:lpstr>Dashboard</vt:lpstr>
      <vt:lpstr>Clients</vt:lpstr>
      <vt:lpstr>Projects</vt:lpstr>
      <vt:lpstr>Invoices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Hustle Studio</dc:creator>
  <dc:title/>
  <dc:subject/>
  <dc:description/>
  <cp:keywords/>
  <cp:category/>
  <cp:lastModifiedBy>Unknown</cp:lastModifiedBy>
  <dcterms:created xsi:type="dcterms:W3CDTF">2026-10-08T06:48:14Z</dcterms:created>
  <dcterms:modified xsi:type="dcterms:W3CDTF">2026-10-08T06:48:14Z</dcterms:modified>
</cp:coreProperties>
</file>