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Floor Rate" state="visible" r:id="rId5"/>
    <sheet sheetId="3" name="Market Check" state="visible" r:id="rId6"/>
    <sheet sheetId="4" name="3-Tier Quote" state="visible" r:id="rId7"/>
    <sheet sheetId="5" name="Change Order" state="visible" r:id="rId8"/>
    <sheet sheetId="6" name="Rate Increase" state="visible" r:id="rId9"/>
  </sheets>
  <calcPr calcId="171027"/>
</workbook>
</file>

<file path=xl/sharedStrings.xml><?xml version="1.0" encoding="utf-8"?>
<sst xmlns="http://schemas.openxmlformats.org/spreadsheetml/2006/main" count="200" uniqueCount="181">
  <si>
    <t>Freelance Pricing &amp; Quote Kit: start here</t>
  </si>
  <si>
    <t>Works in Excel and Google Sheets. Currency-neutral: amounts have no currency sign, so use your own. Planning tool, not tax, legal or financial advice.</t>
  </si>
  <si>
    <t>Step</t>
  </si>
  <si>
    <t>What to do</t>
  </si>
  <si>
    <t>1. Floor Rate</t>
  </si>
  <si>
    <t>Replace Maya's example values in the yellow cells with your own numbers (income goal, costs, tax, working weeks, billable share).</t>
  </si>
  <si>
    <t>2. Read your floor</t>
  </si>
  <si>
    <t>The blue cells show your floor hourly rate (rounded up to the nearest 5) and day rate. Never quote below the floor.</t>
  </si>
  <si>
    <t>3. Market Check</t>
  </si>
  <si>
    <t>Enter up to 5 rates you have seen for similar work, with a note on the source. Enter the rate you plan to quote. The tab shows BELOW FLOOR if it is too low.</t>
  </si>
  <si>
    <t>4. 3-Tier Quote</t>
  </si>
  <si>
    <t>List the tasks of a real project (up to 15 rows) with hours and a tier (dropdown): 1 = in all packages, 2 = Standard and Premium, 3 = Premium only.</t>
  </si>
  <si>
    <t>5. Quote settings</t>
  </si>
  <si>
    <t>Set contingency %, deposit % and rounding step. Leave "Quote rate override" empty to quote at your floor rate, or type a higher rate.</t>
  </si>
  <si>
    <t>6. Send the quote</t>
  </si>
  <si>
    <t>Copy the three prices and deposits into quote-template.html (or quote-template.md) and send it to your client.</t>
  </si>
  <si>
    <t>7. Change Order</t>
  </si>
  <si>
    <t>When the client asks for something extra, enter the hours and pick the rush multiplier from the dropdown in cell B8 (1 / 1.25 / 1.5) to get the price before you start the work.</t>
  </si>
  <si>
    <t>8. Rate Increase</t>
  </si>
  <si>
    <t>Test a new rate: see your monthly revenue before and after, and how much client work you could lose and still earn the same.</t>
  </si>
  <si>
    <t>9. Check the example</t>
  </si>
  <si>
    <t>With Maya's example values: floor rate 90, day rate 720, packages 1,900 / 2,700 / 3,250. The PDF guide walks through the same numbers.</t>
  </si>
  <si>
    <t>10. Protection</t>
  </si>
  <si>
    <t>Sheets are protected WITHOUT a password: only the yellow cells can be edited, so formulas are not overwritten by accident. To edit formulas: Excel: Review &gt; Unprotect Sheet. Google Sheets: Data &gt; Protect sheets and ranges.</t>
  </si>
  <si>
    <t>Colour legend</t>
  </si>
  <si>
    <t>Meaning</t>
  </si>
  <si>
    <t>YOUR INPUT</t>
  </si>
  <si>
    <t>Yellow cells: type your numbers or text here. They start with Maya's example values.</t>
  </si>
  <si>
    <t>FORMULA, DON'T TYPE</t>
  </si>
  <si>
    <t>Blue cells: calculated for you and locked. They update as soon as you change an input.</t>
  </si>
  <si>
    <t>Tabs (click in Excel)</t>
  </si>
  <si>
    <t>What it does (in Google Sheets, use the tabs at the bottom)</t>
  </si>
  <si>
    <t>The lowest hourly and day rate that still pays your income goal, costs, tax and buffer.</t>
  </si>
  <si>
    <t>Compare the rate you plan to quote with your floor and with up to 5 market reference rates.</t>
  </si>
  <si>
    <t>Turn a task list into Essential / Standard / Premium prices, deposits and balances.</t>
  </si>
  <si>
    <t>Price a change request: hours x (1 + overhead) x rate x rush multiplier, rounded up.</t>
  </si>
  <si>
    <t>Revenue before and after a rate increase, and the break-even client loss %.</t>
  </si>
  <si>
    <t>Questions or problems: use the contact details on the Terms page of the shop where you bought this kit.</t>
  </si>
  <si>
    <t>Maya Ortiz is a fictional example. Replace her numbers with yours.</t>
  </si>
  <si>
    <t>Floor Rate: the lowest hourly rate that still pays you</t>
  </si>
  <si>
    <t>Type in the yellow cells. Blue cells are formulas (locked). Pre-filled with Maya's example. Planning tool, not tax or financial advice.</t>
  </si>
  <si>
    <t>Item</t>
  </si>
  <si>
    <t>Value</t>
  </si>
  <si>
    <t>Notes</t>
  </si>
  <si>
    <t>YOUR INPUT (yellow cells: type here)</t>
  </si>
  <si>
    <t>Take-home income goal per year (after tax)</t>
  </si>
  <si>
    <t>What you want to live on</t>
  </si>
  <si>
    <t>Business costs per year</t>
  </si>
  <si>
    <t>Software, hardware, insurance, accountant, courses</t>
  </si>
  <si>
    <t>Effective tax rate on profit</t>
  </si>
  <si>
    <t>A rough rate; check yours with an accountant</t>
  </si>
  <si>
    <t>Savings buffer</t>
  </si>
  <si>
    <t>Covers slow months and late payers</t>
  </si>
  <si>
    <t>Working weeks per year</t>
  </si>
  <si>
    <t>52 minus holidays, public holidays and sick time</t>
  </si>
  <si>
    <t>Hours worked per week</t>
  </si>
  <si>
    <t>All working hours, billable or not</t>
  </si>
  <si>
    <t>Billable share of those hours</t>
  </si>
  <si>
    <t>The rest goes on sales, admin, invoicing and learning</t>
  </si>
  <si>
    <t>Hours in a day rate</t>
  </si>
  <si>
    <t>Hours you count as one billable day</t>
  </si>
  <si>
    <t>RESULTS (blue cells: FORMULA, DON'T TYPE)</t>
  </si>
  <si>
    <t>Revenue needed per year</t>
  </si>
  <si>
    <t>(take-home / (1 - tax rate) + business costs) x (1 + buffer)</t>
  </si>
  <si>
    <t>Billable hours per year</t>
  </si>
  <si>
    <t>working weeks x hours per week x billable share</t>
  </si>
  <si>
    <t>Exact hourly rate (before rounding)</t>
  </si>
  <si>
    <t>revenue needed / billable hours</t>
  </si>
  <si>
    <t>FLOOR HOURLY RATE (rounded up to nearest 5)</t>
  </si>
  <si>
    <t>Never quote below this. Used by the other tabs.</t>
  </si>
  <si>
    <t>FLOOR DAY RATE</t>
  </si>
  <si>
    <t>floor hourly rate x hours in a day rate</t>
  </si>
  <si>
    <t>Monthly revenue target</t>
  </si>
  <si>
    <t>revenue needed / 12</t>
  </si>
  <si>
    <t>Billable hours per working week</t>
  </si>
  <si>
    <t>A reality check: can you sell this many hours every week?</t>
  </si>
  <si>
    <t>Market Check: is the rate you plan to quote safe?</t>
  </si>
  <si>
    <t>Add up to 5 hourly rates you have actually seen for similar work (peer rate pages, community surveys in your niche, agencies you subcontract for). Note the source.</t>
  </si>
  <si>
    <t>Reference (YOUR INPUT)</t>
  </si>
  <si>
    <t>Hourly rate (YOUR INPUT)</t>
  </si>
  <si>
    <t>Source note: where, when, what experience level (YOUR INPUT)</t>
  </si>
  <si>
    <t>Reference 1</t>
  </si>
  <si>
    <t>Reference 2</t>
  </si>
  <si>
    <t>Reference 3</t>
  </si>
  <si>
    <t>Reference 4</t>
  </si>
  <si>
    <t>Reference 5</t>
  </si>
  <si>
    <t>Rate I'll quote (per hour)</t>
  </si>
  <si>
    <t>YOUR INPUT. Maya quotes at her floor (90). Quote higher if your market pays more.</t>
  </si>
  <si>
    <t>Your floor rate</t>
  </si>
  <si>
    <t>From the Floor Rate tab</t>
  </si>
  <si>
    <t>References entered</t>
  </si>
  <si>
    <t>Only numbers count; empty rows are ignored</t>
  </si>
  <si>
    <t>Market low</t>
  </si>
  <si>
    <t>Market average</t>
  </si>
  <si>
    <t>Market high</t>
  </si>
  <si>
    <t>FLOOR CHECK</t>
  </si>
  <si>
    <t>BELOW FLOOR means: raise the rate or cut scope, never the rate</t>
  </si>
  <si>
    <t>MARKET CHECK</t>
  </si>
  <si>
    <t>Below market average: you may have room to charge more</t>
  </si>
  <si>
    <t>3-Tier Quote: Essential / Standard / Premium</t>
  </si>
  <si>
    <t>Price = hours x quote rate x (1 + contingency), rounded UP to the rounding step. Tier 1 = all packages, tier 2 = Standard + Premium, tier 3 = Premium only.</t>
  </si>
  <si>
    <t>Setting</t>
  </si>
  <si>
    <t xml:space="preserve"> </t>
  </si>
  <si>
    <t>Floor rate (from Floor Rate tab)</t>
  </si>
  <si>
    <t>Quote rate override (leave empty to use floor)</t>
  </si>
  <si>
    <t>YOUR INPUT. Type a higher market rate here if you have one</t>
  </si>
  <si>
    <t>QUOTE RATE USED</t>
  </si>
  <si>
    <t>Contingency</t>
  </si>
  <si>
    <t>YOUR INPUT. 10-20% covers email, calls, small surprises</t>
  </si>
  <si>
    <t>Deposit</t>
  </si>
  <si>
    <t>YOUR INPUT. Commonly 30-50%, paid before work starts</t>
  </si>
  <si>
    <t>Rounding step</t>
  </si>
  <si>
    <t>YOUR INPUT. Prices round UP to this step</t>
  </si>
  <si>
    <t>Task (YOUR INPUT)</t>
  </si>
  <si>
    <t>Hours (YOUR INPUT)</t>
  </si>
  <si>
    <t>Tier 1, 2 or 3 (YOUR INPUT, dropdown)</t>
  </si>
  <si>
    <t>Essential h (FORMULA)</t>
  </si>
  <si>
    <t>Standard h (FORMULA)</t>
  </si>
  <si>
    <t>Premium h (FORMULA)</t>
  </si>
  <si>
    <t>Discovery call &amp; brief</t>
  </si>
  <si>
    <t>Core deliverable (logo refresh + palette)</t>
  </si>
  <si>
    <t>Two revision rounds</t>
  </si>
  <si>
    <t>Extra deliverable (social media kit)</t>
  </si>
  <si>
    <t>Handover documentation (mini brand guide)</t>
  </si>
  <si>
    <t>Priority support (30 days)</t>
  </si>
  <si>
    <t>TOTAL HOURS PER PACKAGE</t>
  </si>
  <si>
    <t>Package (FORMULA, DON'T TYPE)</t>
  </si>
  <si>
    <t>Hours</t>
  </si>
  <si>
    <t>Raw price (hours x rate x contingency)</t>
  </si>
  <si>
    <t>PRICE (rounded up)</t>
  </si>
  <si>
    <t>Balance on delivery</t>
  </si>
  <si>
    <t>Effective hourly</t>
  </si>
  <si>
    <t>Essential</t>
  </si>
  <si>
    <t>Standard (recommend this one)</t>
  </si>
  <si>
    <t>Premium</t>
  </si>
  <si>
    <t>Copy these prices and deposits into quote-template.html. Effective hourly = price / hours (it is above your quote rate because of contingency and rounding).</t>
  </si>
  <si>
    <t>Change Order: price a change before you start it</t>
  </si>
  <si>
    <t>Price impact = estimated hours x (1 + overhead) x rate x rush multiplier, rounded UP. Example: Maya's client asks for a loyalty card design (4 hours).</t>
  </si>
  <si>
    <t>Estimated hours (incl. communication)</t>
  </si>
  <si>
    <t>Include emails, calls and file prep for the change</t>
  </si>
  <si>
    <t>Overhead</t>
  </si>
  <si>
    <t>Typically 10-20%: context switching, admin, re-testing</t>
  </si>
  <si>
    <t>Rush multiplier (choose from dropdown)</t>
  </si>
  <si>
    <t>Dropdown: 1 = normal, 1.25 = rush, 1.5 = urgent</t>
  </si>
  <si>
    <t>Rate override (leave empty to use quote rate)</t>
  </si>
  <si>
    <t>Empty = the quote rate from the 3-Tier Quote tab</t>
  </si>
  <si>
    <t>Round up to nearest</t>
  </si>
  <si>
    <t>Rounding step for the change price</t>
  </si>
  <si>
    <t>Current project total</t>
  </si>
  <si>
    <t>The package the client accepted (Maya: Standard, 2,700)</t>
  </si>
  <si>
    <t>Rate used</t>
  </si>
  <si>
    <t>Exact cost before rounding</t>
  </si>
  <si>
    <t>hours x (1 + overhead) x rate x rush multiplier</t>
  </si>
  <si>
    <t>PRICE IMPACT (rounded up)</t>
  </si>
  <si>
    <t>Put this on the change order as "+ price"</t>
  </si>
  <si>
    <t>NEW PROJECT TOTAL</t>
  </si>
  <si>
    <t>current total + price impact</t>
  </si>
  <si>
    <t>The change-order wording is in the guide (Chapter 3) and in scripts-and-templates.txt section 4.</t>
  </si>
  <si>
    <t>Rate Increase: what happens if some clients leave?</t>
  </si>
  <si>
    <t>Pre-filled with Maya: 90 now, 100 new, 88 billable hours a month (1,056 / 12), expecting to lose 5% of client hours.</t>
  </si>
  <si>
    <t>Current hourly rate</t>
  </si>
  <si>
    <t>What you charge today</t>
  </si>
  <si>
    <t>New hourly rate</t>
  </si>
  <si>
    <t>The rate you are considering</t>
  </si>
  <si>
    <t>Current monthly billable hours</t>
  </si>
  <si>
    <t>Hours you actually bill in a typical month</t>
  </si>
  <si>
    <t>% of client hours you expect to lose</t>
  </si>
  <si>
    <t>Your own estimate: which clients might leave over the new rate?</t>
  </si>
  <si>
    <t>Current monthly revenue</t>
  </si>
  <si>
    <t>current rate x monthly hours</t>
  </si>
  <si>
    <t>Billable hours kept after the increase</t>
  </si>
  <si>
    <t>monthly hours x (1 - expected loss)</t>
  </si>
  <si>
    <t>New monthly revenue</t>
  </si>
  <si>
    <t>new rate x hours kept</t>
  </si>
  <si>
    <t>Change per month</t>
  </si>
  <si>
    <t>Positive = you earn more, with fewer hours</t>
  </si>
  <si>
    <t>BREAK-EVEN CLIENT LOSS %</t>
  </si>
  <si>
    <t>1 - current rate / new rate. Lose less than this and you earn more.</t>
  </si>
  <si>
    <t>VERDICT</t>
  </si>
  <si>
    <t>Hours freed per month</t>
  </si>
  <si>
    <t>Time you can use for sales, learning or 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</si>
</sst>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color rgb="FF1F2A44"/>
      <sz val="16"/>
    </font>
    <font>
      <i/>
      <color rgb="FF6B6F7A"/>
      <sz val="10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A4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DCC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0" borderId="1" xfId="0" applyBorder="1"/>
    <xf numFmtId="3" fontId="0" fillId="0" borderId="1" xfId="0" applyNumberFormat="1" applyBorder="1" applyProtection="1">
      <protection locked="0"/>
    </xf>
    <xf numFmtId="9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3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" fontId="0" fillId="0" borderId="1" xfId="0" applyNumberFormat="1" applyBorder="1"/>
    <xf numFmtId="9" fontId="0" fillId="0" borderId="1" xfId="0" applyNumberFormat="1" applyBorder="1"/>
  </cellXfs>
  <cellStyles count="1">
    <cellStyle name="Normal" xfId="0" builtinId="0"/>
  </cellStyles>
  <dxfs count="30">
    <dxf>
      <font>
        <color rgb="FFFFFFFF"/>
      </font>
      <fill>
        <patternFill patternType="solid">
          <bgColor rgb="FF16233A"/>
        </patternFill>
      </fill>
    </dxf>
    <dxf>
      <font>
        <color rgb="FFFFFFFF"/>
      </font>
      <fill>
        <patternFill patternType="solid">
          <bgColor rgb="FF16233A"/>
        </patternFill>
      </fill>
    </dxf>
    <dxf>
      <font>
        <color rgb="FF1E1E24"/>
      </font>
      <fill>
        <patternFill patternType="solid">
          <bgColor rgb="FFFFF4C2"/>
        </patternFill>
      </fill>
    </dxf>
    <dxf>
      <font>
        <color rgb="FF16233A"/>
      </font>
      <fill>
        <patternFill patternType="solid">
          <bgColor rgb="FFE3ECF7"/>
        </patternFill>
      </fill>
    </dxf>
    <dxf>
      <font>
        <color rgb="FF16233A"/>
      </font>
      <fill>
        <patternFill patternType="solid">
          <bgColor rgb="FFEFE8DC"/>
        </patternFill>
      </fill>
    </dxf>
    <dxf>
      <font>
        <color rgb="FF16233A"/>
      </font>
      <fill>
        <patternFill patternType="solid">
          <bgColor rgb="FFEFE8DC"/>
        </patternFill>
      </fill>
    </dxf>
    <dxf>
      <font>
        <color rgb="FF1E1E24"/>
      </font>
      <fill>
        <patternFill patternType="solid">
          <bgColor rgb="FFFFF4C2"/>
        </patternFill>
      </fill>
    </dxf>
    <dxf>
      <font>
        <color rgb="FF16233A"/>
      </font>
      <fill>
        <patternFill patternType="solid">
          <bgColor rgb="FFE3ECF7"/>
        </patternFill>
      </fill>
    </dxf>
    <dxf>
      <font>
        <color rgb="FF9C0006"/>
      </font>
      <fill>
        <patternFill patternType="solid">
          <bgColor rgb="FFFDE9E4"/>
        </patternFill>
      </fill>
    </dxf>
    <dxf>
      <font>
        <color rgb="FF1E1E24"/>
      </font>
      <fill>
        <patternFill patternType="solid">
          <bgColor rgb="FFFFF4C2"/>
        </patternFill>
      </fill>
    </dxf>
    <dxf>
      <font>
        <color rgb="FF1E1E24"/>
      </font>
      <fill>
        <patternFill patternType="solid">
          <bgColor rgb="FFFFF4C2"/>
        </patternFill>
      </fill>
    </dxf>
    <dxf>
      <font>
        <color rgb="FF16233A"/>
      </font>
      <fill>
        <patternFill patternType="solid">
          <bgColor rgb="FFEFE8DC"/>
        </patternFill>
      </fill>
    </dxf>
    <dxf>
      <font>
        <color rgb="FF16233A"/>
      </font>
      <fill>
        <patternFill patternType="solid">
          <bgColor rgb="FFE3ECF7"/>
        </patternFill>
      </fill>
    </dxf>
    <dxf>
      <font>
        <color rgb="FFFFFFFF"/>
      </font>
      <fill>
        <patternFill patternType="solid">
          <bgColor rgb="FF16233A"/>
        </patternFill>
      </fill>
    </dxf>
    <dxf>
      <font>
        <color rgb="FFFFFFFF"/>
      </font>
      <fill>
        <patternFill patternType="solid">
          <bgColor rgb="FF16233A"/>
        </patternFill>
      </fill>
    </dxf>
    <dxf>
      <font>
        <color rgb="FF1E1E24"/>
      </font>
      <fill>
        <patternFill patternType="solid">
          <bgColor rgb="FFFFF4C2"/>
        </patternFill>
      </fill>
    </dxf>
    <dxf>
      <font>
        <color rgb="FF1E1E24"/>
      </font>
      <fill>
        <patternFill patternType="solid">
          <bgColor rgb="FFFFF4C2"/>
        </patternFill>
      </fill>
    </dxf>
    <dxf>
      <font>
        <color rgb="FF1E1E24"/>
      </font>
      <fill>
        <patternFill patternType="solid">
          <bgColor rgb="FFFFF4C2"/>
        </patternFill>
      </fill>
    </dxf>
    <dxf>
      <font>
        <color rgb="FF16233A"/>
      </font>
      <fill>
        <patternFill patternType="solid">
          <bgColor rgb="FFE3ECF7"/>
        </patternFill>
      </fill>
    </dxf>
    <dxf>
      <font>
        <color rgb="FF16233A"/>
      </font>
      <fill>
        <patternFill patternType="solid">
          <bgColor rgb="FFE3ECF7"/>
        </patternFill>
      </fill>
    </dxf>
    <dxf>
      <font>
        <color rgb="FF16233A"/>
      </font>
      <fill>
        <patternFill patternType="solid">
          <bgColor rgb="FFE3ECF7"/>
        </patternFill>
      </fill>
    </dxf>
    <dxf>
      <font>
        <color rgb="FF16233A"/>
      </font>
      <fill>
        <patternFill patternType="solid">
          <bgColor rgb="FFE3ECF7"/>
        </patternFill>
      </fill>
    </dxf>
    <dxf>
      <font>
        <color rgb="FF16233A"/>
      </font>
      <fill>
        <patternFill patternType="solid">
          <bgColor rgb="FFEFE8DC"/>
        </patternFill>
      </fill>
    </dxf>
    <dxf>
      <font>
        <color rgb="FF16233A"/>
      </font>
      <fill>
        <patternFill patternType="solid">
          <bgColor rgb="FFEFE8DC"/>
        </patternFill>
      </fill>
    </dxf>
    <dxf>
      <font>
        <color rgb="FF1E1E24"/>
      </font>
      <fill>
        <patternFill patternType="solid">
          <bgColor rgb="FFFFF4C2"/>
        </patternFill>
      </fill>
    </dxf>
    <dxf>
      <font>
        <color rgb="FF16233A"/>
      </font>
      <fill>
        <patternFill patternType="solid">
          <bgColor rgb="FFE3ECF7"/>
        </patternFill>
      </fill>
    </dxf>
    <dxf>
      <font>
        <color rgb="FF16233A"/>
      </font>
      <fill>
        <patternFill patternType="solid">
          <bgColor rgb="FFEFE8DC"/>
        </patternFill>
      </fill>
    </dxf>
    <dxf>
      <font>
        <color rgb="FF16233A"/>
      </font>
      <fill>
        <patternFill patternType="solid">
          <bgColor rgb="FFEFE8DC"/>
        </patternFill>
      </fill>
    </dxf>
    <dxf>
      <font>
        <color rgb="FF1E1E24"/>
      </font>
      <fill>
        <patternFill patternType="solid">
          <bgColor rgb="FFFFF4C2"/>
        </patternFill>
      </fill>
    </dxf>
    <dxf>
      <font>
        <color rgb="FF16233A"/>
      </font>
      <fill>
        <patternFill patternType="solid">
          <bgColor rgb="FFE3EC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1" width="30" customWidth="1"/>
    <col min="2" max="2" width="8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2" x14ac:dyDescent="0.25">
      <c r="A4" s="3" t="s">
        <v>2</v>
      </c>
      <c r="B4" s="3" t="s">
        <v>3</v>
      </c>
    </row>
    <row r="5" spans="1:2" x14ac:dyDescent="0.25">
      <c r="A5" s="4" t="s">
        <v>4</v>
      </c>
      <c r="B5" s="4" t="s">
        <v>5</v>
      </c>
    </row>
    <row r="6" spans="1:2" x14ac:dyDescent="0.25">
      <c r="A6" s="4" t="s">
        <v>6</v>
      </c>
      <c r="B6" s="4" t="s">
        <v>7</v>
      </c>
    </row>
    <row r="7" spans="1:2" x14ac:dyDescent="0.25">
      <c r="A7" s="4" t="s">
        <v>8</v>
      </c>
      <c r="B7" s="4" t="s">
        <v>9</v>
      </c>
    </row>
    <row r="8" spans="1:2" x14ac:dyDescent="0.25">
      <c r="A8" s="4" t="s">
        <v>10</v>
      </c>
      <c r="B8" s="4" t="s">
        <v>11</v>
      </c>
    </row>
    <row r="9" spans="1:2" x14ac:dyDescent="0.25">
      <c r="A9" s="4" t="s">
        <v>12</v>
      </c>
      <c r="B9" s="4" t="s">
        <v>13</v>
      </c>
    </row>
    <row r="10" spans="1:2" x14ac:dyDescent="0.25">
      <c r="A10" s="4" t="s">
        <v>14</v>
      </c>
      <c r="B10" s="4" t="s">
        <v>15</v>
      </c>
    </row>
    <row r="11" spans="1:2" x14ac:dyDescent="0.25">
      <c r="A11" s="4" t="s">
        <v>16</v>
      </c>
      <c r="B11" s="4" t="s">
        <v>17</v>
      </c>
    </row>
    <row r="12" spans="1:2" x14ac:dyDescent="0.25">
      <c r="A12" s="4" t="s">
        <v>18</v>
      </c>
      <c r="B12" s="4" t="s">
        <v>19</v>
      </c>
    </row>
    <row r="13" spans="1:2" x14ac:dyDescent="0.25">
      <c r="A13" s="4" t="s">
        <v>20</v>
      </c>
      <c r="B13" s="4" t="s">
        <v>21</v>
      </c>
    </row>
    <row r="14" spans="1:2" x14ac:dyDescent="0.25">
      <c r="A14" s="4" t="s">
        <v>22</v>
      </c>
      <c r="B14" s="4" t="s">
        <v>23</v>
      </c>
    </row>
    <row r="15" spans="1:2" x14ac:dyDescent="0.25">
      <c r="A15" s="4"/>
      <c r="B15" s="4"/>
    </row>
    <row r="16" spans="1:2" x14ac:dyDescent="0.25">
      <c r="A16" s="4" t="s">
        <v>24</v>
      </c>
      <c r="B16" s="4" t="s">
        <v>25</v>
      </c>
    </row>
    <row r="17" spans="1:2" x14ac:dyDescent="0.25">
      <c r="A17" s="4" t="s">
        <v>26</v>
      </c>
      <c r="B17" s="4" t="s">
        <v>27</v>
      </c>
    </row>
    <row r="18" spans="1:2" x14ac:dyDescent="0.25">
      <c r="A18" s="4" t="s">
        <v>28</v>
      </c>
      <c r="B18" s="4" t="s">
        <v>29</v>
      </c>
    </row>
    <row r="19" spans="1:2" x14ac:dyDescent="0.25">
      <c r="A19" s="4"/>
      <c r="B19" s="4"/>
    </row>
    <row r="20" spans="1:2" x14ac:dyDescent="0.25">
      <c r="A20" s="4" t="s">
        <v>30</v>
      </c>
      <c r="B20" s="4" t="s">
        <v>31</v>
      </c>
    </row>
    <row r="21" spans="1:2" x14ac:dyDescent="0.25">
      <c r="A21" s="4">
        <f>HYPERLINK("#'Floor Rate'!A1","Floor Rate")</f>
      </c>
      <c r="B21" s="4" t="s">
        <v>32</v>
      </c>
    </row>
    <row r="22" spans="1:2" x14ac:dyDescent="0.25">
      <c r="A22" s="4">
        <f>HYPERLINK("#'Market Check'!A1","Market Check")</f>
      </c>
      <c r="B22" s="4" t="s">
        <v>33</v>
      </c>
    </row>
    <row r="23" spans="1:2" x14ac:dyDescent="0.25">
      <c r="A23" s="4">
        <f>HYPERLINK("#'3-Tier Quote'!A1","3-Tier Quote")</f>
      </c>
      <c r="B23" s="4" t="s">
        <v>34</v>
      </c>
    </row>
    <row r="24" spans="1:2" x14ac:dyDescent="0.25">
      <c r="A24" s="4">
        <f>HYPERLINK("#'Change Order'!A1","Change Order")</f>
      </c>
      <c r="B24" s="4" t="s">
        <v>35</v>
      </c>
    </row>
    <row r="25" spans="1:2" x14ac:dyDescent="0.25">
      <c r="A25" s="4">
        <f>HYPERLINK("#'Rate Increase'!A1","Rate Increase")</f>
      </c>
      <c r="B25" s="4" t="s">
        <v>36</v>
      </c>
    </row>
    <row r="26" spans="1:2" x14ac:dyDescent="0.25">
      <c r="A26" s="4"/>
      <c r="B26" s="4"/>
    </row>
    <row r="27" spans="1:2" x14ac:dyDescent="0.25">
      <c r="A27" s="4" t="s">
        <v>37</v>
      </c>
      <c r="B27" s="4"/>
    </row>
    <row r="28" spans="1:2" x14ac:dyDescent="0.25">
      <c r="A28" s="4" t="s">
        <v>38</v>
      </c>
      <c r="B28" s="4"/>
    </row>
  </sheetData>
  <sheetProtection sheet="1"/>
  <conditionalFormatting sqref="A16:B16">
    <cfRule type="cellIs" dxfId="0" priority="1" operator="greaterThan">
      <formula>-999999999</formula>
    </cfRule>
  </conditionalFormatting>
  <conditionalFormatting sqref="A20:B20">
    <cfRule type="cellIs" dxfId="1" priority="1" operator="greaterThan">
      <formula>-999999999</formula>
    </cfRule>
  </conditionalFormatting>
  <conditionalFormatting sqref="A17">
    <cfRule type="cellIs" dxfId="2" priority="1" operator="greaterThan">
      <formula>-999999999</formula>
    </cfRule>
  </conditionalFormatting>
  <conditionalFormatting sqref="A18">
    <cfRule type="cellIs" dxfId="3" priority="1" operator="greaterThan">
      <formula>-999999999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16" customWidth="1"/>
    <col min="3" max="3" width="62" customWidth="1"/>
  </cols>
  <sheetData>
    <row r="1" spans="1:1" x14ac:dyDescent="0.25">
      <c r="A1" s="1" t="s">
        <v>39</v>
      </c>
    </row>
    <row r="2" spans="1:1" x14ac:dyDescent="0.25">
      <c r="A2" s="2" t="s">
        <v>40</v>
      </c>
    </row>
    <row r="4" spans="1:3" x14ac:dyDescent="0.25">
      <c r="A4" s="3" t="s">
        <v>41</v>
      </c>
      <c r="B4" s="3" t="s">
        <v>42</v>
      </c>
      <c r="C4" s="3" t="s">
        <v>43</v>
      </c>
    </row>
    <row r="5" spans="1:3" x14ac:dyDescent="0.25">
      <c r="A5" s="4" t="s">
        <v>44</v>
      </c>
      <c r="B5" s="4"/>
      <c r="C5" s="4"/>
    </row>
    <row r="6" spans="1:3" x14ac:dyDescent="0.25">
      <c r="A6" s="4" t="s">
        <v>45</v>
      </c>
      <c r="B6" s="5">
        <v>60000</v>
      </c>
      <c r="C6" s="4" t="s">
        <v>46</v>
      </c>
    </row>
    <row r="7" spans="1:3" x14ac:dyDescent="0.25">
      <c r="A7" s="4" t="s">
        <v>47</v>
      </c>
      <c r="B7" s="5">
        <v>6000</v>
      </c>
      <c r="C7" s="4" t="s">
        <v>48</v>
      </c>
    </row>
    <row r="8" spans="1:3" x14ac:dyDescent="0.25">
      <c r="A8" s="4" t="s">
        <v>49</v>
      </c>
      <c r="B8" s="6">
        <v>0.25</v>
      </c>
      <c r="C8" s="4" t="s">
        <v>50</v>
      </c>
    </row>
    <row r="9" spans="1:3" x14ac:dyDescent="0.25">
      <c r="A9" s="4" t="s">
        <v>51</v>
      </c>
      <c r="B9" s="6">
        <v>0.1</v>
      </c>
      <c r="C9" s="4" t="s">
        <v>52</v>
      </c>
    </row>
    <row r="10" spans="1:3" x14ac:dyDescent="0.25">
      <c r="A10" s="4" t="s">
        <v>53</v>
      </c>
      <c r="B10" s="7">
        <v>44</v>
      </c>
      <c r="C10" s="4" t="s">
        <v>54</v>
      </c>
    </row>
    <row r="11" spans="1:3" x14ac:dyDescent="0.25">
      <c r="A11" s="4" t="s">
        <v>55</v>
      </c>
      <c r="B11" s="7">
        <v>40</v>
      </c>
      <c r="C11" s="4" t="s">
        <v>56</v>
      </c>
    </row>
    <row r="12" spans="1:3" x14ac:dyDescent="0.25">
      <c r="A12" s="4" t="s">
        <v>57</v>
      </c>
      <c r="B12" s="6">
        <v>0.6</v>
      </c>
      <c r="C12" s="4" t="s">
        <v>58</v>
      </c>
    </row>
    <row r="13" spans="1:3" x14ac:dyDescent="0.25">
      <c r="A13" s="4" t="s">
        <v>59</v>
      </c>
      <c r="B13" s="7">
        <v>8</v>
      </c>
      <c r="C13" s="4" t="s">
        <v>60</v>
      </c>
    </row>
    <row r="14" spans="1:3" x14ac:dyDescent="0.25">
      <c r="A14" s="4"/>
      <c r="B14" s="4"/>
      <c r="C14" s="4"/>
    </row>
    <row r="15" spans="1:3" x14ac:dyDescent="0.25">
      <c r="A15" s="4" t="s">
        <v>61</v>
      </c>
      <c r="B15" s="4"/>
      <c r="C15" s="4"/>
    </row>
    <row r="16" spans="1:3" x14ac:dyDescent="0.25">
      <c r="A16" s="4" t="s">
        <v>62</v>
      </c>
      <c r="B16" s="8">
        <f>IF(B8&gt;=1,0,(B6/(1-B8)+B7)*(1+B9))</f>
      </c>
      <c r="C16" s="4" t="s">
        <v>63</v>
      </c>
    </row>
    <row r="17" spans="1:3" x14ac:dyDescent="0.25">
      <c r="A17" s="4" t="s">
        <v>64</v>
      </c>
      <c r="B17" s="8">
        <f>B10*B11*B12</f>
      </c>
      <c r="C17" s="4" t="s">
        <v>65</v>
      </c>
    </row>
    <row r="18" spans="1:3" x14ac:dyDescent="0.25">
      <c r="A18" s="4" t="s">
        <v>66</v>
      </c>
      <c r="B18" s="9">
        <f>IF(B17&gt;0,B16/B17,0)</f>
      </c>
      <c r="C18" s="4" t="s">
        <v>67</v>
      </c>
    </row>
    <row r="19" spans="1:3" x14ac:dyDescent="0.25">
      <c r="A19" s="4" t="s">
        <v>68</v>
      </c>
      <c r="B19" s="8">
        <f>IF(B18&gt;0,CEILING(B18,5),0)</f>
      </c>
      <c r="C19" s="4" t="s">
        <v>69</v>
      </c>
    </row>
    <row r="20" spans="1:3" x14ac:dyDescent="0.25">
      <c r="A20" s="4" t="s">
        <v>70</v>
      </c>
      <c r="B20" s="8">
        <f>B19*B13</f>
      </c>
      <c r="C20" s="4" t="s">
        <v>71</v>
      </c>
    </row>
    <row r="21" spans="1:3" x14ac:dyDescent="0.25">
      <c r="A21" s="4" t="s">
        <v>72</v>
      </c>
      <c r="B21" s="8">
        <f>B16/12</f>
      </c>
      <c r="C21" s="4" t="s">
        <v>73</v>
      </c>
    </row>
    <row r="22" spans="1:3" x14ac:dyDescent="0.25">
      <c r="A22" s="4" t="s">
        <v>74</v>
      </c>
      <c r="B22" s="10">
        <f>IF(B10&gt;0,B17/B10,0)</f>
      </c>
      <c r="C22" s="4" t="s">
        <v>75</v>
      </c>
    </row>
  </sheetData>
  <sheetProtection sheet="1"/>
  <conditionalFormatting sqref="A5:C5">
    <cfRule type="cellIs" dxfId="4" priority="1" operator="greaterThan">
      <formula>-999999999</formula>
    </cfRule>
  </conditionalFormatting>
  <conditionalFormatting sqref="A15:C15">
    <cfRule type="cellIs" dxfId="5" priority="1" operator="greaterThan">
      <formula>-999999999</formula>
    </cfRule>
  </conditionalFormatting>
  <conditionalFormatting sqref="B6:B13">
    <cfRule type="cellIs" dxfId="6" priority="1" operator="greaterThan">
      <formula>-999999999</formula>
    </cfRule>
  </conditionalFormatting>
  <conditionalFormatting sqref="B16:B22">
    <cfRule type="cellIs" dxfId="7" priority="1" operator="greaterThan">
      <formula>-999999999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  <col min="3" max="3" width="62" customWidth="1"/>
  </cols>
  <sheetData>
    <row r="1" spans="1:1" x14ac:dyDescent="0.25">
      <c r="A1" s="1" t="s">
        <v>76</v>
      </c>
    </row>
    <row r="2" spans="1:1" x14ac:dyDescent="0.25">
      <c r="A2" s="2" t="s">
        <v>77</v>
      </c>
    </row>
    <row r="4" spans="1:3" x14ac:dyDescent="0.25">
      <c r="A4" s="3" t="s">
        <v>78</v>
      </c>
      <c r="B4" s="3" t="s">
        <v>79</v>
      </c>
      <c r="C4" s="3" t="s">
        <v>80</v>
      </c>
    </row>
    <row r="5" spans="1:3" x14ac:dyDescent="0.25">
      <c r="A5" s="7" t="s">
        <v>81</v>
      </c>
      <c r="B5" s="7"/>
      <c r="C5" s="7"/>
    </row>
    <row r="6" spans="1:3" x14ac:dyDescent="0.25">
      <c r="A6" s="7" t="s">
        <v>82</v>
      </c>
      <c r="B6" s="7"/>
      <c r="C6" s="7"/>
    </row>
    <row r="7" spans="1:3" x14ac:dyDescent="0.25">
      <c r="A7" s="7" t="s">
        <v>83</v>
      </c>
      <c r="B7" s="7"/>
      <c r="C7" s="7"/>
    </row>
    <row r="8" spans="1:3" x14ac:dyDescent="0.25">
      <c r="A8" s="7" t="s">
        <v>84</v>
      </c>
      <c r="B8" s="7"/>
      <c r="C8" s="7"/>
    </row>
    <row r="9" spans="1:3" x14ac:dyDescent="0.25">
      <c r="A9" s="7" t="s">
        <v>85</v>
      </c>
      <c r="B9" s="7"/>
      <c r="C9" s="7"/>
    </row>
    <row r="10" spans="1:3" x14ac:dyDescent="0.25">
      <c r="A10" s="4"/>
      <c r="B10" s="4"/>
      <c r="C10" s="4"/>
    </row>
    <row r="11" spans="1:3" x14ac:dyDescent="0.25">
      <c r="A11" s="4" t="s">
        <v>86</v>
      </c>
      <c r="B11" s="5">
        <v>90</v>
      </c>
      <c r="C11" s="4" t="s">
        <v>87</v>
      </c>
    </row>
    <row r="12" spans="1:3" x14ac:dyDescent="0.25">
      <c r="A12" s="4"/>
      <c r="B12" s="4"/>
      <c r="C12" s="4"/>
    </row>
    <row r="13" spans="1:3" x14ac:dyDescent="0.25">
      <c r="A13" s="4" t="s">
        <v>61</v>
      </c>
      <c r="B13" s="4"/>
      <c r="C13" s="4"/>
    </row>
    <row r="14" spans="1:3" x14ac:dyDescent="0.25">
      <c r="A14" s="4" t="s">
        <v>88</v>
      </c>
      <c r="B14" s="8">
        <f>'Floor Rate'!B19</f>
      </c>
      <c r="C14" s="4" t="s">
        <v>89</v>
      </c>
    </row>
    <row r="15" spans="1:3" x14ac:dyDescent="0.25">
      <c r="A15" s="4" t="s">
        <v>90</v>
      </c>
      <c r="B15" s="11">
        <f>COUNT(B5:B9)</f>
      </c>
      <c r="C15" s="4" t="s">
        <v>91</v>
      </c>
    </row>
    <row r="16" spans="1:3" x14ac:dyDescent="0.25">
      <c r="A16" s="4" t="s">
        <v>92</v>
      </c>
      <c r="B16" s="8">
        <f>IF(B15=0,"",MIN(B5:B9))</f>
      </c>
      <c r="C16" s="4"/>
    </row>
    <row r="17" spans="1:3" x14ac:dyDescent="0.25">
      <c r="A17" s="4" t="s">
        <v>93</v>
      </c>
      <c r="B17" s="8">
        <f>IF(B15=0,"",AVERAGE(B5:B9))</f>
      </c>
      <c r="C17" s="4"/>
    </row>
    <row r="18" spans="1:3" x14ac:dyDescent="0.25">
      <c r="A18" s="4" t="s">
        <v>94</v>
      </c>
      <c r="B18" s="8">
        <f>IF(B15=0,"",MAX(B5:B9))</f>
      </c>
      <c r="C18" s="4"/>
    </row>
    <row r="19" spans="1:3" x14ac:dyDescent="0.25">
      <c r="A19" s="4" t="s">
        <v>95</v>
      </c>
      <c r="B19" s="4">
        <f>IF(B11="","",IF(B11&lt;B14,"BELOW FLOOR","OK: at or above floor"))</f>
      </c>
      <c r="C19" s="4" t="s">
        <v>96</v>
      </c>
    </row>
    <row r="20" spans="1:3" x14ac:dyDescent="0.25">
      <c r="A20" s="4" t="s">
        <v>97</v>
      </c>
      <c r="B20" s="4">
        <f>IF(OR(B11="",B15=0),"Add market rates above",IF(B11&lt;B17,"Below market average","At or above average"))</f>
      </c>
      <c r="C20" s="4" t="s">
        <v>98</v>
      </c>
    </row>
  </sheetData>
  <sheetProtection sheet="1"/>
  <conditionalFormatting sqref="B19">
    <cfRule type="containsText" dxfId="8" priority="1">
      <formula>NOT(ISERROR(SEARCH("BELOW FLOOR",B19)))</formula>
    </cfRule>
  </conditionalFormatting>
  <conditionalFormatting sqref="A5:C9">
    <cfRule type="cellIs" dxfId="9" priority="1" operator="greaterThan">
      <formula>-999999999</formula>
    </cfRule>
  </conditionalFormatting>
  <conditionalFormatting sqref="B11">
    <cfRule type="cellIs" dxfId="10" priority="1" operator="greaterThan">
      <formula>-999999999</formula>
    </cfRule>
  </conditionalFormatting>
  <conditionalFormatting sqref="A13:C13">
    <cfRule type="cellIs" dxfId="11" priority="1" operator="greaterThan">
      <formula>-999999999</formula>
    </cfRule>
  </conditionalFormatting>
  <conditionalFormatting sqref="B14:B20">
    <cfRule type="cellIs" dxfId="12" priority="1" operator="greaterThan">
      <formula>-999999999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8" customWidth="1"/>
    <col min="3" max="3" width="40" customWidth="1"/>
    <col min="4" max="6" width="22" customWidth="1"/>
    <col min="7" max="7" width="18" customWidth="1"/>
  </cols>
  <sheetData>
    <row r="1" spans="1:1" x14ac:dyDescent="0.25">
      <c r="A1" s="1" t="s">
        <v>99</v>
      </c>
    </row>
    <row r="2" spans="1:1" x14ac:dyDescent="0.25">
      <c r="A2" s="2" t="s">
        <v>100</v>
      </c>
    </row>
    <row r="4" spans="1:7" x14ac:dyDescent="0.25">
      <c r="A4" s="3" t="s">
        <v>101</v>
      </c>
      <c r="B4" s="3" t="s">
        <v>42</v>
      </c>
      <c r="C4" s="3" t="s">
        <v>43</v>
      </c>
      <c r="D4" s="3" t="s">
        <v>102</v>
      </c>
      <c r="E4" s="3" t="s">
        <v>102</v>
      </c>
      <c r="F4" s="3" t="s">
        <v>102</v>
      </c>
      <c r="G4" s="3" t="s">
        <v>102</v>
      </c>
    </row>
    <row r="5" spans="1:7" x14ac:dyDescent="0.25">
      <c r="A5" s="4" t="s">
        <v>103</v>
      </c>
      <c r="B5" s="8">
        <f>'Floor Rate'!B19</f>
      </c>
      <c r="C5" s="4" t="s">
        <v>28</v>
      </c>
      <c r="D5" s="4"/>
      <c r="E5" s="4"/>
      <c r="F5" s="4"/>
      <c r="G5" s="4"/>
    </row>
    <row r="6" spans="1:7" x14ac:dyDescent="0.25">
      <c r="A6" s="4" t="s">
        <v>104</v>
      </c>
      <c r="B6" s="7"/>
      <c r="C6" s="4" t="s">
        <v>105</v>
      </c>
      <c r="D6" s="4"/>
      <c r="E6" s="4"/>
      <c r="F6" s="4"/>
      <c r="G6" s="4"/>
    </row>
    <row r="7" spans="1:7" x14ac:dyDescent="0.25">
      <c r="A7" s="4" t="s">
        <v>106</v>
      </c>
      <c r="B7" s="8">
        <f>IF(N(B6)&gt;0,B6,B5)</f>
      </c>
      <c r="C7" s="4" t="s">
        <v>28</v>
      </c>
      <c r="D7" s="4"/>
      <c r="E7" s="4"/>
      <c r="F7" s="4"/>
      <c r="G7" s="4"/>
    </row>
    <row r="8" spans="1:7" x14ac:dyDescent="0.25">
      <c r="A8" s="4" t="s">
        <v>107</v>
      </c>
      <c r="B8" s="6">
        <v>0.15</v>
      </c>
      <c r="C8" s="4" t="s">
        <v>108</v>
      </c>
      <c r="D8" s="4"/>
      <c r="E8" s="4"/>
      <c r="F8" s="4"/>
      <c r="G8" s="4"/>
    </row>
    <row r="9" spans="1:7" x14ac:dyDescent="0.25">
      <c r="A9" s="4" t="s">
        <v>109</v>
      </c>
      <c r="B9" s="6">
        <v>0.5</v>
      </c>
      <c r="C9" s="4" t="s">
        <v>110</v>
      </c>
      <c r="D9" s="4"/>
      <c r="E9" s="4"/>
      <c r="F9" s="4"/>
      <c r="G9" s="4"/>
    </row>
    <row r="10" spans="1:7" x14ac:dyDescent="0.25">
      <c r="A10" s="4" t="s">
        <v>111</v>
      </c>
      <c r="B10" s="7">
        <v>50</v>
      </c>
      <c r="C10" s="4" t="s">
        <v>112</v>
      </c>
      <c r="D10" s="4"/>
      <c r="E10" s="4"/>
      <c r="F10" s="4"/>
      <c r="G10" s="4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 t="s">
        <v>113</v>
      </c>
      <c r="B12" s="4" t="s">
        <v>114</v>
      </c>
      <c r="C12" s="4" t="s">
        <v>115</v>
      </c>
      <c r="D12" s="4" t="s">
        <v>116</v>
      </c>
      <c r="E12" s="4" t="s">
        <v>117</v>
      </c>
      <c r="F12" s="4" t="s">
        <v>118</v>
      </c>
      <c r="G12" s="4"/>
    </row>
    <row r="13" spans="1:7" x14ac:dyDescent="0.25">
      <c r="A13" s="7" t="s">
        <v>119</v>
      </c>
      <c r="B13" s="7">
        <v>2</v>
      </c>
      <c r="C13" s="7">
        <v>1</v>
      </c>
      <c r="D13" s="10">
        <f>IF(AND(ISNUMBER(B13),ISNUMBER(C13)),IF(C13&lt;=1,B13,0),0)</f>
      </c>
      <c r="E13" s="10">
        <f>IF(AND(ISNUMBER(B13),ISNUMBER(C13)),IF(C13&lt;=2,B13,0),0)</f>
      </c>
      <c r="F13" s="10">
        <f>IF(AND(ISNUMBER(B13),ISNUMBER(C13)),IF(C13&lt;=3,B13,0),0)</f>
      </c>
      <c r="G13" s="4"/>
    </row>
    <row r="14" spans="1:7" x14ac:dyDescent="0.25">
      <c r="A14" s="7" t="s">
        <v>120</v>
      </c>
      <c r="B14" s="7">
        <v>12</v>
      </c>
      <c r="C14" s="7">
        <v>1</v>
      </c>
      <c r="D14" s="10">
        <f>IF(AND(ISNUMBER(B14),ISNUMBER(C14)),IF(C14&lt;=1,B14,0),0)</f>
      </c>
      <c r="E14" s="10">
        <f>IF(AND(ISNUMBER(B14),ISNUMBER(C14)),IF(C14&lt;=2,B14,0),0)</f>
      </c>
      <c r="F14" s="10">
        <f>IF(AND(ISNUMBER(B14),ISNUMBER(C14)),IF(C14&lt;=3,B14,0),0)</f>
      </c>
      <c r="G14" s="4"/>
    </row>
    <row r="15" spans="1:7" x14ac:dyDescent="0.25">
      <c r="A15" s="7" t="s">
        <v>121</v>
      </c>
      <c r="B15" s="7">
        <v>4</v>
      </c>
      <c r="C15" s="7">
        <v>1</v>
      </c>
      <c r="D15" s="10">
        <f>IF(AND(ISNUMBER(B15),ISNUMBER(C15)),IF(C15&lt;=1,B15,0),0)</f>
      </c>
      <c r="E15" s="10">
        <f>IF(AND(ISNUMBER(B15),ISNUMBER(C15)),IF(C15&lt;=2,B15,0),0)</f>
      </c>
      <c r="F15" s="10">
        <f>IF(AND(ISNUMBER(B15),ISNUMBER(C15)),IF(C15&lt;=3,B15,0),0)</f>
      </c>
      <c r="G15" s="4"/>
    </row>
    <row r="16" spans="1:7" x14ac:dyDescent="0.25">
      <c r="A16" s="7" t="s">
        <v>122</v>
      </c>
      <c r="B16" s="7">
        <v>6</v>
      </c>
      <c r="C16" s="7">
        <v>2</v>
      </c>
      <c r="D16" s="10">
        <f>IF(AND(ISNUMBER(B16),ISNUMBER(C16)),IF(C16&lt;=1,B16,0),0)</f>
      </c>
      <c r="E16" s="10">
        <f>IF(AND(ISNUMBER(B16),ISNUMBER(C16)),IF(C16&lt;=2,B16,0),0)</f>
      </c>
      <c r="F16" s="10">
        <f>IF(AND(ISNUMBER(B16),ISNUMBER(C16)),IF(C16&lt;=3,B16,0),0)</f>
      </c>
      <c r="G16" s="4"/>
    </row>
    <row r="17" spans="1:7" x14ac:dyDescent="0.25">
      <c r="A17" s="7" t="s">
        <v>123</v>
      </c>
      <c r="B17" s="7">
        <v>2</v>
      </c>
      <c r="C17" s="7">
        <v>2</v>
      </c>
      <c r="D17" s="10">
        <f>IF(AND(ISNUMBER(B17),ISNUMBER(C17)),IF(C17&lt;=1,B17,0),0)</f>
      </c>
      <c r="E17" s="10">
        <f>IF(AND(ISNUMBER(B17),ISNUMBER(C17)),IF(C17&lt;=2,B17,0),0)</f>
      </c>
      <c r="F17" s="10">
        <f>IF(AND(ISNUMBER(B17),ISNUMBER(C17)),IF(C17&lt;=3,B17,0),0)</f>
      </c>
      <c r="G17" s="4"/>
    </row>
    <row r="18" spans="1:7" x14ac:dyDescent="0.25">
      <c r="A18" s="7" t="s">
        <v>124</v>
      </c>
      <c r="B18" s="7">
        <v>5</v>
      </c>
      <c r="C18" s="7">
        <v>3</v>
      </c>
      <c r="D18" s="10">
        <f>IF(AND(ISNUMBER(B18),ISNUMBER(C18)),IF(C18&lt;=1,B18,0),0)</f>
      </c>
      <c r="E18" s="10">
        <f>IF(AND(ISNUMBER(B18),ISNUMBER(C18)),IF(C18&lt;=2,B18,0),0)</f>
      </c>
      <c r="F18" s="10">
        <f>IF(AND(ISNUMBER(B18),ISNUMBER(C18)),IF(C18&lt;=3,B18,0),0)</f>
      </c>
      <c r="G18" s="4"/>
    </row>
    <row r="19" spans="1:7" x14ac:dyDescent="0.25">
      <c r="A19" s="7"/>
      <c r="B19" s="7"/>
      <c r="C19" s="7"/>
      <c r="D19" s="10">
        <f>IF(AND(ISNUMBER(B19),ISNUMBER(C19)),IF(C19&lt;=1,B19,0),0)</f>
      </c>
      <c r="E19" s="10">
        <f>IF(AND(ISNUMBER(B19),ISNUMBER(C19)),IF(C19&lt;=2,B19,0),0)</f>
      </c>
      <c r="F19" s="10">
        <f>IF(AND(ISNUMBER(B19),ISNUMBER(C19)),IF(C19&lt;=3,B19,0),0)</f>
      </c>
      <c r="G19" s="4"/>
    </row>
    <row r="20" spans="1:7" x14ac:dyDescent="0.25">
      <c r="A20" s="7"/>
      <c r="B20" s="7"/>
      <c r="C20" s="7"/>
      <c r="D20" s="10">
        <f>IF(AND(ISNUMBER(B20),ISNUMBER(C20)),IF(C20&lt;=1,B20,0),0)</f>
      </c>
      <c r="E20" s="10">
        <f>IF(AND(ISNUMBER(B20),ISNUMBER(C20)),IF(C20&lt;=2,B20,0),0)</f>
      </c>
      <c r="F20" s="10">
        <f>IF(AND(ISNUMBER(B20),ISNUMBER(C20)),IF(C20&lt;=3,B20,0),0)</f>
      </c>
      <c r="G20" s="4"/>
    </row>
    <row r="21" spans="1:7" x14ac:dyDescent="0.25">
      <c r="A21" s="7"/>
      <c r="B21" s="7"/>
      <c r="C21" s="7"/>
      <c r="D21" s="10">
        <f>IF(AND(ISNUMBER(B21),ISNUMBER(C21)),IF(C21&lt;=1,B21,0),0)</f>
      </c>
      <c r="E21" s="10">
        <f>IF(AND(ISNUMBER(B21),ISNUMBER(C21)),IF(C21&lt;=2,B21,0),0)</f>
      </c>
      <c r="F21" s="10">
        <f>IF(AND(ISNUMBER(B21),ISNUMBER(C21)),IF(C21&lt;=3,B21,0),0)</f>
      </c>
      <c r="G21" s="4"/>
    </row>
    <row r="22" spans="1:7" x14ac:dyDescent="0.25">
      <c r="A22" s="7"/>
      <c r="B22" s="7"/>
      <c r="C22" s="7"/>
      <c r="D22" s="10">
        <f>IF(AND(ISNUMBER(B22),ISNUMBER(C22)),IF(C22&lt;=1,B22,0),0)</f>
      </c>
      <c r="E22" s="10">
        <f>IF(AND(ISNUMBER(B22),ISNUMBER(C22)),IF(C22&lt;=2,B22,0),0)</f>
      </c>
      <c r="F22" s="10">
        <f>IF(AND(ISNUMBER(B22),ISNUMBER(C22)),IF(C22&lt;=3,B22,0),0)</f>
      </c>
      <c r="G22" s="4"/>
    </row>
    <row r="23" spans="1:7" x14ac:dyDescent="0.25">
      <c r="A23" s="7"/>
      <c r="B23" s="7"/>
      <c r="C23" s="7"/>
      <c r="D23" s="10">
        <f>IF(AND(ISNUMBER(B23),ISNUMBER(C23)),IF(C23&lt;=1,B23,0),0)</f>
      </c>
      <c r="E23" s="10">
        <f>IF(AND(ISNUMBER(B23),ISNUMBER(C23)),IF(C23&lt;=2,B23,0),0)</f>
      </c>
      <c r="F23" s="10">
        <f>IF(AND(ISNUMBER(B23),ISNUMBER(C23)),IF(C23&lt;=3,B23,0),0)</f>
      </c>
      <c r="G23" s="4"/>
    </row>
    <row r="24" spans="1:7" x14ac:dyDescent="0.25">
      <c r="A24" s="7"/>
      <c r="B24" s="7"/>
      <c r="C24" s="7"/>
      <c r="D24" s="10">
        <f>IF(AND(ISNUMBER(B24),ISNUMBER(C24)),IF(C24&lt;=1,B24,0),0)</f>
      </c>
      <c r="E24" s="10">
        <f>IF(AND(ISNUMBER(B24),ISNUMBER(C24)),IF(C24&lt;=2,B24,0),0)</f>
      </c>
      <c r="F24" s="10">
        <f>IF(AND(ISNUMBER(B24),ISNUMBER(C24)),IF(C24&lt;=3,B24,0),0)</f>
      </c>
      <c r="G24" s="4"/>
    </row>
    <row r="25" spans="1:7" x14ac:dyDescent="0.25">
      <c r="A25" s="7"/>
      <c r="B25" s="7"/>
      <c r="C25" s="7"/>
      <c r="D25" s="10">
        <f>IF(AND(ISNUMBER(B25),ISNUMBER(C25)),IF(C25&lt;=1,B25,0),0)</f>
      </c>
      <c r="E25" s="10">
        <f>IF(AND(ISNUMBER(B25),ISNUMBER(C25)),IF(C25&lt;=2,B25,0),0)</f>
      </c>
      <c r="F25" s="10">
        <f>IF(AND(ISNUMBER(B25),ISNUMBER(C25)),IF(C25&lt;=3,B25,0),0)</f>
      </c>
      <c r="G25" s="4"/>
    </row>
    <row r="26" spans="1:7" x14ac:dyDescent="0.25">
      <c r="A26" s="7"/>
      <c r="B26" s="7"/>
      <c r="C26" s="7"/>
      <c r="D26" s="10">
        <f>IF(AND(ISNUMBER(B26),ISNUMBER(C26)),IF(C26&lt;=1,B26,0),0)</f>
      </c>
      <c r="E26" s="10">
        <f>IF(AND(ISNUMBER(B26),ISNUMBER(C26)),IF(C26&lt;=2,B26,0),0)</f>
      </c>
      <c r="F26" s="10">
        <f>IF(AND(ISNUMBER(B26),ISNUMBER(C26)),IF(C26&lt;=3,B26,0),0)</f>
      </c>
      <c r="G26" s="4"/>
    </row>
    <row r="27" spans="1:7" x14ac:dyDescent="0.25">
      <c r="A27" s="7"/>
      <c r="B27" s="7"/>
      <c r="C27" s="7"/>
      <c r="D27" s="10">
        <f>IF(AND(ISNUMBER(B27),ISNUMBER(C27)),IF(C27&lt;=1,B27,0),0)</f>
      </c>
      <c r="E27" s="10">
        <f>IF(AND(ISNUMBER(B27),ISNUMBER(C27)),IF(C27&lt;=2,B27,0),0)</f>
      </c>
      <c r="F27" s="10">
        <f>IF(AND(ISNUMBER(B27),ISNUMBER(C27)),IF(C27&lt;=3,B27,0),0)</f>
      </c>
      <c r="G27" s="4"/>
    </row>
    <row r="28" spans="1:7" x14ac:dyDescent="0.25">
      <c r="A28" s="4" t="s">
        <v>125</v>
      </c>
      <c r="B28" s="4"/>
      <c r="C28" s="4"/>
      <c r="D28" s="10">
        <f>SUM(D13:D27)</f>
      </c>
      <c r="E28" s="10">
        <f>SUM(E13:E27)</f>
      </c>
      <c r="F28" s="10">
        <f>SUM(F13:F27)</f>
      </c>
      <c r="G28" s="4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x14ac:dyDescent="0.25">
      <c r="A30" s="4" t="s">
        <v>126</v>
      </c>
      <c r="B30" s="4" t="s">
        <v>127</v>
      </c>
      <c r="C30" s="4" t="s">
        <v>128</v>
      </c>
      <c r="D30" s="4" t="s">
        <v>129</v>
      </c>
      <c r="E30" s="4" t="s">
        <v>109</v>
      </c>
      <c r="F30" s="4" t="s">
        <v>130</v>
      </c>
      <c r="G30" s="4" t="s">
        <v>131</v>
      </c>
    </row>
    <row r="31" spans="1:7" x14ac:dyDescent="0.25">
      <c r="A31" s="4" t="s">
        <v>132</v>
      </c>
      <c r="B31" s="10">
        <f>D28</f>
      </c>
      <c r="C31" s="9">
        <f>B31*$B$7*(1+$B$8)</f>
      </c>
      <c r="D31" s="8">
        <f>IF(C31&lt;=0,0,IF(N($B$10)&gt;0,CEILING(C31,$B$10),C31))</f>
      </c>
      <c r="E31" s="8">
        <f>D31*$B$9</f>
      </c>
      <c r="F31" s="8">
        <f>D31-E31</f>
      </c>
      <c r="G31" s="9">
        <f>IF(B31&gt;0,D31/B31,0)</f>
      </c>
    </row>
    <row r="32" spans="1:7" x14ac:dyDescent="0.25">
      <c r="A32" s="4" t="s">
        <v>133</v>
      </c>
      <c r="B32" s="10">
        <f>E28</f>
      </c>
      <c r="C32" s="9">
        <f>B32*$B$7*(1+$B$8)</f>
      </c>
      <c r="D32" s="8">
        <f>IF(C32&lt;=0,0,IF(N($B$10)&gt;0,CEILING(C32,$B$10),C32))</f>
      </c>
      <c r="E32" s="8">
        <f>D32*$B$9</f>
      </c>
      <c r="F32" s="8">
        <f>D32-E32</f>
      </c>
      <c r="G32" s="9">
        <f>IF(B32&gt;0,D32/B32,0)</f>
      </c>
    </row>
    <row r="33" spans="1:7" x14ac:dyDescent="0.25">
      <c r="A33" s="4" t="s">
        <v>134</v>
      </c>
      <c r="B33" s="10">
        <f>F28</f>
      </c>
      <c r="C33" s="9">
        <f>B33*$B$7*(1+$B$8)</f>
      </c>
      <c r="D33" s="8">
        <f>IF(C33&lt;=0,0,IF(N($B$10)&gt;0,CEILING(C33,$B$10),C33))</f>
      </c>
      <c r="E33" s="8">
        <f>D33*$B$9</f>
      </c>
      <c r="F33" s="8">
        <f>D33-E33</f>
      </c>
      <c r="G33" s="9">
        <f>IF(B33&gt;0,D33/B33,0)</f>
      </c>
    </row>
    <row r="34" spans="1:7" x14ac:dyDescent="0.25">
      <c r="A34" s="4" t="s">
        <v>135</v>
      </c>
      <c r="B34" s="4"/>
      <c r="C34" s="4"/>
      <c r="D34" s="4"/>
      <c r="E34" s="4"/>
      <c r="F34" s="4"/>
      <c r="G34" s="4"/>
    </row>
  </sheetData>
  <sheetProtection sheet="1"/>
  <conditionalFormatting sqref="A12:F12">
    <cfRule type="cellIs" dxfId="13" priority="1" operator="greaterThan">
      <formula>-999999999</formula>
    </cfRule>
  </conditionalFormatting>
  <conditionalFormatting sqref="A30:G30">
    <cfRule type="cellIs" dxfId="14" priority="1" operator="greaterThan">
      <formula>-999999999</formula>
    </cfRule>
  </conditionalFormatting>
  <conditionalFormatting sqref="B6">
    <cfRule type="cellIs" dxfId="15" priority="1" operator="greaterThan">
      <formula>-999999999</formula>
    </cfRule>
  </conditionalFormatting>
  <conditionalFormatting sqref="B8:B10">
    <cfRule type="cellIs" dxfId="16" priority="1" operator="greaterThan">
      <formula>-999999999</formula>
    </cfRule>
  </conditionalFormatting>
  <conditionalFormatting sqref="A13:C27">
    <cfRule type="cellIs" dxfId="17" priority="1" operator="greaterThan">
      <formula>-999999999</formula>
    </cfRule>
  </conditionalFormatting>
  <conditionalFormatting sqref="B5">
    <cfRule type="cellIs" dxfId="18" priority="1" operator="greaterThan">
      <formula>-999999999</formula>
    </cfRule>
  </conditionalFormatting>
  <conditionalFormatting sqref="B7">
    <cfRule type="cellIs" dxfId="19" priority="1" operator="greaterThan">
      <formula>-999999999</formula>
    </cfRule>
  </conditionalFormatting>
  <conditionalFormatting sqref="D13:F28">
    <cfRule type="cellIs" dxfId="20" priority="1" operator="greaterThan">
      <formula>-999999999</formula>
    </cfRule>
  </conditionalFormatting>
  <conditionalFormatting sqref="B31:G33">
    <cfRule type="cellIs" dxfId="21" priority="1" operator="greaterThan">
      <formula>-999999999</formula>
    </cfRule>
  </conditionalFormatting>
  <dataValidations count="1">
    <dataValidation type="list" allowBlank="1" showInputMessage="1" prompt="1 = all packages, 2 = Standard + Premium, 3 = Premium only" showErrorMessage="1" sqref="C13:C27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6" customWidth="1"/>
    <col min="3" max="3" width="66" customWidth="1"/>
  </cols>
  <sheetData>
    <row r="1" spans="1:1" x14ac:dyDescent="0.25">
      <c r="A1" s="1" t="s">
        <v>136</v>
      </c>
    </row>
    <row r="2" spans="1:1" x14ac:dyDescent="0.25">
      <c r="A2" s="2" t="s">
        <v>137</v>
      </c>
    </row>
    <row r="4" spans="1:3" x14ac:dyDescent="0.25">
      <c r="A4" s="3" t="s">
        <v>41</v>
      </c>
      <c r="B4" s="3" t="s">
        <v>42</v>
      </c>
      <c r="C4" s="3" t="s">
        <v>43</v>
      </c>
    </row>
    <row r="5" spans="1:3" x14ac:dyDescent="0.25">
      <c r="A5" s="4" t="s">
        <v>44</v>
      </c>
      <c r="B5" s="4"/>
      <c r="C5" s="4"/>
    </row>
    <row r="6" spans="1:3" x14ac:dyDescent="0.25">
      <c r="A6" s="4" t="s">
        <v>138</v>
      </c>
      <c r="B6" s="7">
        <v>4</v>
      </c>
      <c r="C6" s="4" t="s">
        <v>139</v>
      </c>
    </row>
    <row r="7" spans="1:3" x14ac:dyDescent="0.25">
      <c r="A7" s="4" t="s">
        <v>140</v>
      </c>
      <c r="B7" s="6">
        <v>0.15</v>
      </c>
      <c r="C7" s="4" t="s">
        <v>141</v>
      </c>
    </row>
    <row r="8" spans="1:3" x14ac:dyDescent="0.25">
      <c r="A8" s="4" t="s">
        <v>142</v>
      </c>
      <c r="B8" s="7">
        <v>1</v>
      </c>
      <c r="C8" s="4" t="s">
        <v>143</v>
      </c>
    </row>
    <row r="9" spans="1:3" x14ac:dyDescent="0.25">
      <c r="A9" s="4" t="s">
        <v>144</v>
      </c>
      <c r="B9" s="7"/>
      <c r="C9" s="4" t="s">
        <v>145</v>
      </c>
    </row>
    <row r="10" spans="1:3" x14ac:dyDescent="0.25">
      <c r="A10" s="4" t="s">
        <v>146</v>
      </c>
      <c r="B10" s="7">
        <v>25</v>
      </c>
      <c r="C10" s="4" t="s">
        <v>147</v>
      </c>
    </row>
    <row r="11" spans="1:3" x14ac:dyDescent="0.25">
      <c r="A11" s="4" t="s">
        <v>148</v>
      </c>
      <c r="B11" s="5">
        <v>2700</v>
      </c>
      <c r="C11" s="4" t="s">
        <v>149</v>
      </c>
    </row>
    <row r="12" spans="1:3" x14ac:dyDescent="0.25">
      <c r="A12" s="4"/>
      <c r="B12" s="4"/>
      <c r="C12" s="4"/>
    </row>
    <row r="13" spans="1:3" x14ac:dyDescent="0.25">
      <c r="A13" s="4" t="s">
        <v>61</v>
      </c>
      <c r="B13" s="4"/>
      <c r="C13" s="4"/>
    </row>
    <row r="14" spans="1:3" x14ac:dyDescent="0.25">
      <c r="A14" s="4" t="s">
        <v>150</v>
      </c>
      <c r="B14" s="8">
        <f>IF(N(B9)&gt;0,B9,'3-Tier Quote'!B7)</f>
      </c>
      <c r="C14" s="4"/>
    </row>
    <row r="15" spans="1:3" x14ac:dyDescent="0.25">
      <c r="A15" s="4" t="s">
        <v>151</v>
      </c>
      <c r="B15" s="9">
        <f>B6*(1+B7)*B14*B8</f>
      </c>
      <c r="C15" s="4" t="s">
        <v>152</v>
      </c>
    </row>
    <row r="16" spans="1:3" x14ac:dyDescent="0.25">
      <c r="A16" s="4" t="s">
        <v>153</v>
      </c>
      <c r="B16" s="8">
        <f>IF(B6*(1+B7)*B14*B8&lt;=0,0,CEILING(B6*(1+B7)*B14*B8,IF(N(B10)&gt;0,B10,1)))</f>
      </c>
      <c r="C16" s="4" t="s">
        <v>154</v>
      </c>
    </row>
    <row r="17" spans="1:3" x14ac:dyDescent="0.25">
      <c r="A17" s="4" t="s">
        <v>155</v>
      </c>
      <c r="B17" s="8">
        <f>B11+B16</f>
      </c>
      <c r="C17" s="4" t="s">
        <v>156</v>
      </c>
    </row>
    <row r="18" spans="1:3" x14ac:dyDescent="0.25">
      <c r="A18" s="4" t="s">
        <v>157</v>
      </c>
      <c r="B18" s="4"/>
      <c r="C18" s="4"/>
    </row>
  </sheetData>
  <sheetProtection sheet="1"/>
  <conditionalFormatting sqref="A5:C5">
    <cfRule type="cellIs" dxfId="22" priority="1" operator="greaterThan">
      <formula>-999999999</formula>
    </cfRule>
  </conditionalFormatting>
  <conditionalFormatting sqref="A13:C13">
    <cfRule type="cellIs" dxfId="23" priority="1" operator="greaterThan">
      <formula>-999999999</formula>
    </cfRule>
  </conditionalFormatting>
  <conditionalFormatting sqref="B6:B11">
    <cfRule type="cellIs" dxfId="24" priority="1" operator="greaterThan">
      <formula>-999999999</formula>
    </cfRule>
  </conditionalFormatting>
  <conditionalFormatting sqref="B14:B17">
    <cfRule type="cellIs" dxfId="25" priority="1" operator="greaterThan">
      <formula>-999999999</formula>
    </cfRule>
  </conditionalFormatting>
  <dataValidations count="1">
    <dataValidation type="list" showInputMessage="1" prompt="1 = normal, 1.25 = rush, 1.5 = urgent" showErrorMessage="1" sqref="B8">
      <formula1>"1,1.25,1.5"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40" customWidth="1"/>
    <col min="3" max="3" width="62" customWidth="1"/>
  </cols>
  <sheetData>
    <row r="1" spans="1:1" x14ac:dyDescent="0.25">
      <c r="A1" s="1" t="s">
        <v>158</v>
      </c>
    </row>
    <row r="2" spans="1:1" x14ac:dyDescent="0.25">
      <c r="A2" s="2" t="s">
        <v>159</v>
      </c>
    </row>
    <row r="4" spans="1:3" x14ac:dyDescent="0.25">
      <c r="A4" s="3" t="s">
        <v>41</v>
      </c>
      <c r="B4" s="3" t="s">
        <v>42</v>
      </c>
      <c r="C4" s="3" t="s">
        <v>43</v>
      </c>
    </row>
    <row r="5" spans="1:3" x14ac:dyDescent="0.25">
      <c r="A5" s="4" t="s">
        <v>44</v>
      </c>
      <c r="B5" s="4"/>
      <c r="C5" s="4"/>
    </row>
    <row r="6" spans="1:3" x14ac:dyDescent="0.25">
      <c r="A6" s="4" t="s">
        <v>160</v>
      </c>
      <c r="B6" s="5">
        <v>90</v>
      </c>
      <c r="C6" s="4" t="s">
        <v>161</v>
      </c>
    </row>
    <row r="7" spans="1:3" x14ac:dyDescent="0.25">
      <c r="A7" s="4" t="s">
        <v>162</v>
      </c>
      <c r="B7" s="5">
        <v>100</v>
      </c>
      <c r="C7" s="4" t="s">
        <v>163</v>
      </c>
    </row>
    <row r="8" spans="1:3" x14ac:dyDescent="0.25">
      <c r="A8" s="4" t="s">
        <v>164</v>
      </c>
      <c r="B8" s="7">
        <v>88</v>
      </c>
      <c r="C8" s="4" t="s">
        <v>165</v>
      </c>
    </row>
    <row r="9" spans="1:3" x14ac:dyDescent="0.25">
      <c r="A9" s="4" t="s">
        <v>166</v>
      </c>
      <c r="B9" s="6">
        <v>0.05</v>
      </c>
      <c r="C9" s="4" t="s">
        <v>167</v>
      </c>
    </row>
    <row r="10" spans="1:3" x14ac:dyDescent="0.25">
      <c r="A10" s="4"/>
      <c r="B10" s="4"/>
      <c r="C10" s="4"/>
    </row>
    <row r="11" spans="1:3" x14ac:dyDescent="0.25">
      <c r="A11" s="4" t="s">
        <v>61</v>
      </c>
      <c r="B11" s="4"/>
      <c r="C11" s="4"/>
    </row>
    <row r="12" spans="1:3" x14ac:dyDescent="0.25">
      <c r="A12" s="4" t="s">
        <v>168</v>
      </c>
      <c r="B12" s="8">
        <f>B6*B8</f>
      </c>
      <c r="C12" s="4" t="s">
        <v>169</v>
      </c>
    </row>
    <row r="13" spans="1:3" x14ac:dyDescent="0.25">
      <c r="A13" s="4" t="s">
        <v>170</v>
      </c>
      <c r="B13" s="10">
        <f>B8*(1-B9)</f>
      </c>
      <c r="C13" s="4" t="s">
        <v>171</v>
      </c>
    </row>
    <row r="14" spans="1:3" x14ac:dyDescent="0.25">
      <c r="A14" s="4" t="s">
        <v>172</v>
      </c>
      <c r="B14" s="8">
        <f>B7*B13</f>
      </c>
      <c r="C14" s="4" t="s">
        <v>173</v>
      </c>
    </row>
    <row r="15" spans="1:3" x14ac:dyDescent="0.25">
      <c r="A15" s="4" t="s">
        <v>174</v>
      </c>
      <c r="B15" s="8">
        <f>B14-B12</f>
      </c>
      <c r="C15" s="4" t="s">
        <v>175</v>
      </c>
    </row>
    <row r="16" spans="1:3" x14ac:dyDescent="0.25">
      <c r="A16" s="4" t="s">
        <v>176</v>
      </c>
      <c r="B16" s="12">
        <f>IF(N(B7)&gt;0,1-B6/B7,0)</f>
      </c>
      <c r="C16" s="4" t="s">
        <v>177</v>
      </c>
    </row>
    <row r="17" spans="1:3" x14ac:dyDescent="0.25">
      <c r="A17" s="4" t="s">
        <v>178</v>
      </c>
      <c r="B17" s="4">
        <f>IF(N(B7)&lt;=0,"",IF(ROUND(B9-B16,6)&lt;0,"You earn more, even with the loss",IF(ROUND(B9-B16,6)=0,"Break-even","You earn less: raise less or keep more clients")))</f>
      </c>
      <c r="C17" s="4"/>
    </row>
    <row r="18" spans="1:3" x14ac:dyDescent="0.25">
      <c r="A18" s="4" t="s">
        <v>179</v>
      </c>
      <c r="B18" s="10">
        <f>B8-B13</f>
      </c>
      <c r="C18" s="4" t="s">
        <v>180</v>
      </c>
    </row>
  </sheetData>
  <sheetProtection sheet="1"/>
  <conditionalFormatting sqref="A5:C5">
    <cfRule type="cellIs" dxfId="26" priority="1" operator="greaterThan">
      <formula>-999999999</formula>
    </cfRule>
  </conditionalFormatting>
  <conditionalFormatting sqref="A11:C11">
    <cfRule type="cellIs" dxfId="27" priority="1" operator="greaterThan">
      <formula>-999999999</formula>
    </cfRule>
  </conditionalFormatting>
  <conditionalFormatting sqref="B6:B9">
    <cfRule type="cellIs" dxfId="28" priority="1" operator="greaterThan">
      <formula>-999999999</formula>
    </cfRule>
  </conditionalFormatting>
  <conditionalFormatting sqref="B12:B18">
    <cfRule type="cellIs" dxfId="29" priority="1" operator="greaterThan">
      <formula>-999999999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Floor Rate</vt:lpstr>
      <vt:lpstr>Market Check</vt:lpstr>
      <vt:lpstr>3-Tier Quote</vt:lpstr>
      <vt:lpstr>Change Order</vt:lpstr>
      <vt:lpstr>Rate Increase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Hustle Studio</dc:creator>
  <dc:title/>
  <dc:subject/>
  <dc:description/>
  <cp:keywords/>
  <cp:category/>
  <cp:lastModifiedBy>Unknown</cp:lastModifiedBy>
  <dcterms:created xsi:type="dcterms:W3CDTF">2026-10-09T01:58:42Z</dcterms:created>
  <dcterms:modified xsi:type="dcterms:W3CDTF">2026-10-09T01:58:42Z</dcterms:modified>
</cp:coreProperties>
</file>